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codeName="ThisWorkbook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46772" documentId="13_ncr:1_{98CF7EA1-A6ED-48C7-BD3E-CCA19375D598}" xr6:coauthVersionLast="47" xr6:coauthVersionMax="47" xr10:uidLastSave="{073BB23C-AC0C-463C-A25F-82E96768433D}"/>
  <bookViews>
    <workbookView xWindow="-108" yWindow="-108" windowWidth="23256" windowHeight="12456" xr2:uid="{00000000-000D-0000-FFFF-FFFF00000000}"/>
  </bookViews>
  <sheets>
    <sheet name="ACTUAL (new template )" sheetId="4" r:id="rId1"/>
    <sheet name="TEST 1" sheetId="2" r:id="rId2"/>
    <sheet name="TEST 2" sheetId="3" r:id="rId3"/>
    <sheet name="ACTUAL" sheetId="1" r:id="rId4"/>
  </sheets>
  <definedNames>
    <definedName name="_xlnm._FilterDatabase" localSheetId="3" hidden="1">ACTUAL!$C$34:$E$45</definedName>
    <definedName name="_xlnm._FilterDatabase" localSheetId="0" hidden="1">'ACTUAL (new template )'!$C$34:$E$45</definedName>
    <definedName name="_xlnm.Print_Area" localSheetId="3">ACTUAL!$A$1:$L$62</definedName>
    <definedName name="_xlnm.Print_Area" localSheetId="0">'ACTUAL (new template )'!$A$1:$K$62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G35" i="4"/>
  <c r="G44" i="4"/>
  <c r="G43" i="4"/>
  <c r="G42" i="4"/>
  <c r="G41" i="4"/>
  <c r="G40" i="4"/>
  <c r="G39" i="4"/>
  <c r="G38" i="4"/>
  <c r="G37" i="4"/>
  <c r="G36" i="4"/>
  <c r="G47" i="4"/>
  <c r="G46" i="4"/>
  <c r="G45" i="4"/>
  <c r="K49" i="4"/>
  <c r="K62" i="4"/>
  <c r="D41" i="4" l="1"/>
  <c r="D42" i="4"/>
  <c r="D43" i="4"/>
  <c r="D44" i="4"/>
  <c r="D45" i="4"/>
  <c r="D37" i="4"/>
  <c r="D38" i="4"/>
  <c r="D39" i="4"/>
  <c r="D40" i="4"/>
  <c r="D36" i="4"/>
  <c r="D35" i="4"/>
  <c r="C7" i="4" l="1"/>
  <c r="D27" i="4" l="1"/>
  <c r="D28" i="4"/>
  <c r="D47" i="4"/>
  <c r="D46" i="4"/>
  <c r="L49" i="1" l="1"/>
  <c r="G35" i="1"/>
  <c r="D35" i="1"/>
  <c r="C6" i="4"/>
  <c r="K38" i="4" s="1"/>
  <c r="K51" i="4" l="1"/>
  <c r="L36" i="1"/>
  <c r="G42" i="1"/>
  <c r="D43" i="1"/>
  <c r="G45" i="1" l="1"/>
  <c r="G44" i="1"/>
  <c r="L51" i="1"/>
  <c r="G43" i="1"/>
  <c r="G38" i="1"/>
  <c r="G39" i="1"/>
  <c r="G40" i="1"/>
  <c r="G41" i="1"/>
  <c r="G36" i="1" l="1"/>
  <c r="G37" i="1"/>
  <c r="C7" i="1" l="1"/>
  <c r="C31" i="1" l="1"/>
  <c r="C29" i="1"/>
  <c r="D42" i="1"/>
  <c r="C6" i="1" l="1"/>
  <c r="L38" i="1" s="1"/>
  <c r="D41" i="1"/>
  <c r="D40" i="1"/>
  <c r="D7" i="2"/>
  <c r="C7" i="2" s="1"/>
  <c r="D10" i="2" s="1"/>
  <c r="D45" i="1" l="1"/>
  <c r="G46" i="1"/>
  <c r="D6" i="2" l="1"/>
  <c r="C6" i="2" s="1"/>
  <c r="D13" i="2" s="1"/>
  <c r="D44" i="1"/>
  <c r="D6" i="3" l="1"/>
  <c r="C6" i="3" s="1"/>
  <c r="D13" i="3" s="1"/>
  <c r="D7" i="3"/>
  <c r="D36" i="1"/>
  <c r="D6" i="1"/>
  <c r="D37" i="1"/>
  <c r="D38" i="1"/>
  <c r="D39" i="1"/>
  <c r="E13" i="2" l="1"/>
  <c r="D11" i="2"/>
  <c r="C7" i="3"/>
  <c r="D7" i="1"/>
  <c r="D10" i="3" l="1"/>
  <c r="D11" i="3"/>
  <c r="E13" i="3"/>
  <c r="L40" i="1" l="1"/>
  <c r="K40" i="4"/>
</calcChain>
</file>

<file path=xl/sharedStrings.xml><?xml version="1.0" encoding="utf-8"?>
<sst xmlns="http://schemas.openxmlformats.org/spreadsheetml/2006/main" count="264" uniqueCount="147">
  <si>
    <t>HOUSEKEEPING</t>
  </si>
  <si>
    <t>HR/Day of</t>
  </si>
  <si>
    <t>OCC  before (DR-HR)</t>
  </si>
  <si>
    <t xml:space="preserve">HR /Next Day </t>
  </si>
  <si>
    <t xml:space="preserve">To Clean </t>
  </si>
  <si>
    <t>Day:</t>
  </si>
  <si>
    <t xml:space="preserve">Saturday </t>
  </si>
  <si>
    <t xml:space="preserve">Notes </t>
  </si>
  <si>
    <t xml:space="preserve">Departures </t>
  </si>
  <si>
    <t>Date:</t>
  </si>
  <si>
    <t/>
  </si>
  <si>
    <t xml:space="preserve">PASS ONS:  </t>
  </si>
  <si>
    <t>&lt; AM Shift &gt;</t>
  </si>
  <si>
    <t>&lt; PM Shift &gt;</t>
  </si>
  <si>
    <t>Coordinator:</t>
  </si>
  <si>
    <t/>
  </si>
  <si>
    <t/>
  </si>
  <si>
    <t>Floor Supervisors:</t>
  </si>
  <si>
    <t>Floors</t>
  </si>
  <si>
    <t>Floor Supervisors PM:</t>
  </si>
  <si>
    <t/>
  </si>
  <si>
    <t/>
  </si>
  <si>
    <t/>
  </si>
  <si>
    <t>AM Lobby</t>
  </si>
  <si>
    <t/>
  </si>
  <si>
    <t xml:space="preserve">PM Lobby </t>
  </si>
  <si>
    <t/>
  </si>
  <si>
    <t>House Attendants:</t>
  </si>
  <si>
    <t xml:space="preserve"/>
  </si>
  <si>
    <t xml:space="preserve"> </t>
  </si>
  <si>
    <t>1.</t>
  </si>
  <si>
    <t/>
  </si>
  <si>
    <t xml:space="preserve">Houseman </t>
  </si>
  <si>
    <t>2</t>
  </si>
  <si>
    <t/>
  </si>
  <si>
    <t/>
  </si>
  <si>
    <t>3</t>
  </si>
  <si>
    <t>4</t>
  </si>
  <si>
    <t>Overnight</t>
  </si>
  <si>
    <t>5</t>
  </si>
  <si>
    <t/>
  </si>
  <si>
    <t>6</t>
  </si>
  <si>
    <t xml:space="preserve"/>
  </si>
  <si>
    <t>Room per HM</t>
  </si>
  <si>
    <t>Rooms per Sup</t>
  </si>
  <si>
    <t xml:space="preserve">Floors </t>
  </si>
  <si>
    <t xml:space="preserve">task </t>
  </si>
  <si>
    <t xml:space="preserve">GRA Name </t>
  </si>
  <si>
    <t>2nd</t>
  </si>
  <si>
    <t>13th</t>
  </si>
  <si>
    <t>Ladies</t>
  </si>
  <si>
    <t>3rd</t>
  </si>
  <si>
    <t>14th</t>
  </si>
  <si>
    <t>4th</t>
  </si>
  <si>
    <t/>
  </si>
  <si>
    <t>15th</t>
  </si>
  <si>
    <t/>
  </si>
  <si>
    <t>Total rooms per Lady</t>
  </si>
  <si>
    <t>5th</t>
  </si>
  <si>
    <t>16th</t>
  </si>
  <si>
    <t xml:space="preserve"/>
  </si>
  <si>
    <t>6th</t>
  </si>
  <si>
    <t>17th</t>
  </si>
  <si>
    <t>Departures per Lady</t>
  </si>
  <si>
    <t>7th</t>
  </si>
  <si>
    <t/>
  </si>
  <si>
    <t>18th</t>
  </si>
  <si>
    <t>8th</t>
  </si>
  <si>
    <t/>
  </si>
  <si>
    <t>19th</t>
  </si>
  <si>
    <t xml:space="preserve"/>
  </si>
  <si>
    <t>9th</t>
  </si>
  <si>
    <t/>
  </si>
  <si>
    <t>20th</t>
  </si>
  <si>
    <t xml:space="preserve"/>
  </si>
  <si>
    <t>10th</t>
  </si>
  <si>
    <t/>
  </si>
  <si>
    <t>21st</t>
  </si>
  <si>
    <t>11th</t>
  </si>
  <si>
    <t>22nd</t>
  </si>
  <si>
    <t xml:space="preserve"/>
  </si>
  <si>
    <t>12th</t>
  </si>
  <si>
    <t>Floater 1</t>
  </si>
  <si>
    <t xml:space="preserve">TOTAL </t>
  </si>
  <si>
    <t>Floater 2</t>
  </si>
  <si>
    <t>Floater 3</t>
  </si>
  <si>
    <t>Projects</t>
  </si>
  <si>
    <t xml:space="preserve">Pm GRA's </t>
  </si>
  <si>
    <t xml:space="preserve">Turn Down </t>
  </si>
  <si>
    <t xml:space="preserve">OCC </t>
  </si>
  <si>
    <t xml:space="preserve">Turndown </t>
  </si>
  <si>
    <t/>
  </si>
  <si>
    <t>Rooms Found Vacant</t>
  </si>
  <si>
    <t/>
  </si>
  <si>
    <t/>
  </si>
  <si>
    <t xml:space="preserve">  </t>
  </si>
  <si>
    <t>Anz Room</t>
  </si>
  <si>
    <t>Stayover</t>
  </si>
  <si>
    <t>Feather Free</t>
  </si>
  <si>
    <t>TEST 1</t>
  </si>
  <si>
    <t>Final OCC</t>
  </si>
  <si>
    <t xml:space="preserve">HR dia de </t>
  </si>
  <si>
    <t xml:space="preserve">DR para el otro dia </t>
  </si>
  <si>
    <t xml:space="preserve">TO Clean </t>
  </si>
  <si>
    <t>.</t>
  </si>
  <si>
    <t>TOTAL</t>
  </si>
  <si>
    <t>Total ROOMS</t>
  </si>
  <si>
    <t>Supervisors</t>
  </si>
  <si>
    <t xml:space="preserve">Houseperson </t>
  </si>
  <si>
    <t>Room Attd</t>
  </si>
  <si>
    <t>OCC</t>
  </si>
  <si>
    <t>DEP</t>
  </si>
  <si>
    <t>TEST 2</t>
  </si>
  <si>
    <t>HR dia de/Day of</t>
  </si>
  <si>
    <t>Monday</t>
  </si>
  <si>
    <t/>
  </si>
  <si>
    <t/>
  </si>
  <si>
    <t>Time:</t>
  </si>
  <si>
    <t>Lunch/Recess</t>
  </si>
  <si>
    <t xml:space="preserve"/>
  </si>
  <si>
    <t xml:space="preserve"/>
  </si>
  <si>
    <t/>
  </si>
  <si>
    <t xml:space="preserve"/>
  </si>
  <si>
    <t xml:space="preserve"/>
  </si>
  <si>
    <t>3.</t>
  </si>
  <si>
    <t/>
  </si>
  <si>
    <t/>
  </si>
  <si>
    <t/>
  </si>
  <si>
    <t>2.</t>
  </si>
  <si>
    <t xml:space="preserve"/>
  </si>
  <si>
    <t xml:space="preserve"/>
  </si>
  <si>
    <t>8.</t>
  </si>
  <si>
    <t xml:space="preserve">PM Houseperson </t>
  </si>
  <si>
    <t/>
  </si>
  <si>
    <t>HP Over night</t>
  </si>
  <si>
    <t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</si>
  <si>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</si>
  <si>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</si>
  <si>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</si>
  <si>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</si>
  <si>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</si>
  <si>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</si>
  <si>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/>
  </si>
  <si>
    <t/>
  </si>
  <si>
    <t xml:space="preserve"/>
  </si>
  <si>
    <t>Room Found Vacant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</si>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</sst>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/d/yy\ h:mm\ AM/PM;@"/>
  </numFmts>
  <fonts count="39">
    <font>
      <sz val="10"/>
      <name val="Arial"/>
    </font>
    <font>
      <i/>
      <sz val="13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name val="Calibri"/>
      <family val="2"/>
      <scheme val="minor"/>
    </font>
    <font>
      <sz val="22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5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name val="Calibri"/>
      <family val="2"/>
      <scheme val="minor"/>
    </font>
    <font>
      <sz val="8"/>
      <name val="Arial"/>
      <family val="2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sz val="14"/>
      <name val="Calibri"/>
      <family val="2"/>
    </font>
    <font>
      <sz val="12"/>
      <name val="Calibri"/>
      <family val="2"/>
    </font>
    <font>
      <i/>
      <sz val="1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18" xfId="0" applyFont="1" applyBorder="1"/>
    <xf numFmtId="0" fontId="2" fillId="0" borderId="19" xfId="0" applyFont="1" applyBorder="1"/>
    <xf numFmtId="0" fontId="6" fillId="4" borderId="6" xfId="0" applyFont="1" applyFill="1" applyBorder="1" applyAlignment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8" fillId="0" borderId="0" xfId="0" applyFont="1"/>
    <xf numFmtId="0" fontId="10" fillId="0" borderId="12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0" borderId="1" xfId="0" applyFont="1" applyBorder="1" applyAlignment="1" applyProtection="1">
      <alignment horizontal="right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  <xf numFmtId="0" fontId="7" fillId="5" borderId="12" xfId="0" applyFont="1" applyFill="1" applyBorder="1" applyProtection="1">
      <protection locked="0"/>
    </xf>
    <xf numFmtId="0" fontId="11" fillId="7" borderId="12" xfId="0" applyFont="1" applyFill="1" applyBorder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 applyProtection="1">
      <alignment horizontal="center" vertical="center" wrapText="1"/>
      <protection locked="0"/>
    </xf>
    <xf numFmtId="0" fontId="7" fillId="3" borderId="12" xfId="0" applyFont="1" applyFill="1" applyBorder="1" applyAlignment="1" applyProtection="1">
      <alignment horizontal="center"/>
      <protection locked="0"/>
    </xf>
    <xf numFmtId="0" fontId="7" fillId="3" borderId="12" xfId="0" applyFont="1" applyFill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14" fontId="8" fillId="0" borderId="2" xfId="0" applyNumberFormat="1" applyFont="1" applyBorder="1" applyAlignment="1" applyProtection="1">
      <alignment horizontal="center"/>
      <protection locked="0"/>
    </xf>
    <xf numFmtId="0" fontId="7" fillId="6" borderId="12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18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/>
    <xf numFmtId="0" fontId="3" fillId="0" borderId="1" xfId="0" applyFont="1" applyBorder="1"/>
    <xf numFmtId="18" fontId="3" fillId="0" borderId="0" xfId="0" applyNumberFormat="1" applyFont="1" applyAlignment="1" applyProtection="1">
      <alignment horizontal="center"/>
      <protection locked="0"/>
    </xf>
    <xf numFmtId="18" fontId="8" fillId="0" borderId="0" xfId="0" applyNumberFormat="1" applyFont="1" applyAlignment="1">
      <alignment horizontal="right"/>
    </xf>
    <xf numFmtId="0" fontId="3" fillId="3" borderId="0" xfId="0" applyFont="1" applyFill="1"/>
    <xf numFmtId="0" fontId="1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/>
    <xf numFmtId="0" fontId="10" fillId="2" borderId="8" xfId="0" applyFont="1" applyFill="1" applyBorder="1" applyAlignment="1" applyProtection="1">
      <alignment horizontal="center"/>
      <protection locked="0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left"/>
    </xf>
    <xf numFmtId="0" fontId="7" fillId="0" borderId="2" xfId="0" applyFont="1" applyBorder="1"/>
    <xf numFmtId="18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49" fontId="13" fillId="0" borderId="2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center"/>
    </xf>
    <xf numFmtId="18" fontId="13" fillId="2" borderId="7" xfId="0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49" fontId="7" fillId="0" borderId="0" xfId="0" applyNumberFormat="1" applyFont="1" applyAlignment="1">
      <alignment horizontal="left"/>
    </xf>
    <xf numFmtId="0" fontId="3" fillId="3" borderId="21" xfId="0" applyFont="1" applyFill="1" applyBorder="1"/>
    <xf numFmtId="0" fontId="10" fillId="3" borderId="1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8" fillId="0" borderId="1" xfId="0" applyNumberFormat="1" applyFont="1" applyBorder="1"/>
    <xf numFmtId="49" fontId="13" fillId="0" borderId="1" xfId="0" applyNumberFormat="1" applyFont="1" applyBorder="1"/>
    <xf numFmtId="18" fontId="7" fillId="0" borderId="1" xfId="0" applyNumberFormat="1" applyFont="1" applyBorder="1" applyProtection="1">
      <protection locked="0"/>
    </xf>
    <xf numFmtId="49" fontId="8" fillId="0" borderId="0" xfId="0" applyNumberFormat="1" applyFont="1" applyAlignment="1">
      <alignment horizontal="center"/>
    </xf>
    <xf numFmtId="49" fontId="8" fillId="0" borderId="2" xfId="0" applyNumberFormat="1" applyFont="1" applyBorder="1"/>
    <xf numFmtId="18" fontId="13" fillId="2" borderId="8" xfId="0" applyNumberFormat="1" applyFont="1" applyFill="1" applyBorder="1" applyAlignment="1" applyProtection="1">
      <alignment horizontal="center"/>
      <protection locked="0"/>
    </xf>
    <xf numFmtId="49" fontId="13" fillId="0" borderId="2" xfId="0" applyNumberFormat="1" applyFont="1" applyBorder="1"/>
    <xf numFmtId="49" fontId="8" fillId="0" borderId="2" xfId="0" applyNumberFormat="1" applyFont="1" applyBorder="1" applyAlignment="1">
      <alignment horizontal="center"/>
    </xf>
    <xf numFmtId="49" fontId="13" fillId="0" borderId="0" xfId="0" applyNumberFormat="1" applyFont="1"/>
    <xf numFmtId="0" fontId="7" fillId="0" borderId="2" xfId="0" applyFont="1" applyBorder="1" applyAlignment="1" applyProtection="1">
      <alignment horizontal="right"/>
      <protection locked="0"/>
    </xf>
    <xf numFmtId="49" fontId="10" fillId="0" borderId="2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7" fillId="0" borderId="2" xfId="0" applyFont="1" applyBorder="1" applyProtection="1">
      <protection locked="0"/>
    </xf>
    <xf numFmtId="49" fontId="13" fillId="0" borderId="2" xfId="0" applyNumberFormat="1" applyFont="1" applyBorder="1" applyAlignment="1">
      <alignment horizontal="center"/>
    </xf>
    <xf numFmtId="0" fontId="16" fillId="0" borderId="0" xfId="0" applyFont="1"/>
    <xf numFmtId="0" fontId="7" fillId="0" borderId="3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6" fillId="0" borderId="1" xfId="0" applyFont="1" applyBorder="1" applyProtection="1">
      <protection locked="0"/>
    </xf>
    <xf numFmtId="0" fontId="16" fillId="0" borderId="1" xfId="0" applyFont="1" applyBorder="1"/>
    <xf numFmtId="0" fontId="7" fillId="0" borderId="12" xfId="0" applyFont="1" applyBorder="1" applyProtection="1">
      <protection locked="0"/>
    </xf>
    <xf numFmtId="49" fontId="3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6" fillId="0" borderId="2" xfId="0" applyFont="1" applyBorder="1" applyProtection="1">
      <protection locked="0"/>
    </xf>
    <xf numFmtId="0" fontId="16" fillId="0" borderId="2" xfId="0" applyFont="1" applyBorder="1"/>
    <xf numFmtId="49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3" fillId="0" borderId="0" xfId="0" applyNumberFormat="1" applyFont="1"/>
    <xf numFmtId="0" fontId="18" fillId="0" borderId="0" xfId="0" applyFont="1"/>
    <xf numFmtId="18" fontId="3" fillId="0" borderId="0" xfId="0" applyNumberFormat="1" applyFont="1"/>
    <xf numFmtId="0" fontId="19" fillId="9" borderId="14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9" fillId="4" borderId="15" xfId="0" applyFont="1" applyFill="1" applyBorder="1"/>
    <xf numFmtId="0" fontId="19" fillId="10" borderId="17" xfId="0" applyFont="1" applyFill="1" applyBorder="1" applyAlignment="1">
      <alignment horizontal="center"/>
    </xf>
    <xf numFmtId="0" fontId="19" fillId="10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7" fillId="0" borderId="0" xfId="0" applyFont="1" applyAlignment="1">
      <alignment horizontal="left"/>
    </xf>
    <xf numFmtId="0" fontId="19" fillId="10" borderId="4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9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2" fillId="10" borderId="8" xfId="0" applyFont="1" applyFill="1" applyBorder="1" applyAlignment="1">
      <alignment horizontal="center"/>
    </xf>
    <xf numFmtId="0" fontId="3" fillId="4" borderId="0" xfId="0" applyFont="1" applyFill="1"/>
    <xf numFmtId="0" fontId="19" fillId="0" borderId="4" xfId="0" applyFont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0" fillId="0" borderId="0" xfId="0" applyFont="1"/>
    <xf numFmtId="0" fontId="10" fillId="0" borderId="0" xfId="0" applyFont="1"/>
    <xf numFmtId="0" fontId="16" fillId="0" borderId="19" xfId="0" applyFont="1" applyBorder="1"/>
    <xf numFmtId="0" fontId="16" fillId="0" borderId="18" xfId="0" applyFont="1" applyBorder="1"/>
    <xf numFmtId="0" fontId="7" fillId="0" borderId="18" xfId="0" applyFont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wrapText="1"/>
      <protection locked="0"/>
    </xf>
    <xf numFmtId="0" fontId="7" fillId="4" borderId="12" xfId="0" applyFont="1" applyFill="1" applyBorder="1"/>
    <xf numFmtId="0" fontId="17" fillId="4" borderId="12" xfId="0" applyFont="1" applyFill="1" applyBorder="1" applyProtection="1">
      <protection locked="0"/>
    </xf>
    <xf numFmtId="0" fontId="16" fillId="4" borderId="0" xfId="0" applyFont="1" applyFill="1"/>
    <xf numFmtId="0" fontId="5" fillId="0" borderId="20" xfId="0" applyFont="1" applyBorder="1"/>
    <xf numFmtId="0" fontId="7" fillId="0" borderId="16" xfId="0" applyFont="1" applyBorder="1"/>
    <xf numFmtId="0" fontId="7" fillId="3" borderId="12" xfId="0" applyFont="1" applyFill="1" applyBorder="1"/>
    <xf numFmtId="0" fontId="4" fillId="3" borderId="12" xfId="0" applyFont="1" applyFill="1" applyBorder="1" applyAlignment="1" applyProtection="1">
      <alignment horizontal="center" vertical="center"/>
      <protection locked="0"/>
    </xf>
    <xf numFmtId="164" fontId="7" fillId="0" borderId="0" xfId="0" applyNumberFormat="1" applyFont="1" applyAlignment="1">
      <alignment horizontal="center"/>
    </xf>
    <xf numFmtId="0" fontId="10" fillId="2" borderId="12" xfId="0" applyFont="1" applyFill="1" applyBorder="1" applyAlignment="1" applyProtection="1">
      <alignment horizontal="center"/>
      <protection locked="0"/>
    </xf>
    <xf numFmtId="0" fontId="13" fillId="0" borderId="0" xfId="0" applyFont="1"/>
    <xf numFmtId="164" fontId="7" fillId="0" borderId="0" xfId="0" applyNumberFormat="1" applyFont="1" applyAlignment="1">
      <alignment horizontal="center" vertical="center"/>
    </xf>
    <xf numFmtId="0" fontId="3" fillId="7" borderId="35" xfId="0" applyFont="1" applyFill="1" applyBorder="1" applyAlignment="1">
      <alignment horizontal="center"/>
    </xf>
    <xf numFmtId="0" fontId="7" fillId="10" borderId="35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8" fillId="7" borderId="35" xfId="0" applyFont="1" applyFill="1" applyBorder="1"/>
    <xf numFmtId="0" fontId="12" fillId="9" borderId="35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/>
    </xf>
    <xf numFmtId="0" fontId="15" fillId="0" borderId="1" xfId="0" applyFont="1" applyBorder="1" applyProtection="1">
      <protection locked="0"/>
    </xf>
    <xf numFmtId="0" fontId="5" fillId="4" borderId="20" xfId="0" applyFont="1" applyFill="1" applyBorder="1"/>
    <xf numFmtId="0" fontId="5" fillId="3" borderId="12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/>
    <xf numFmtId="0" fontId="7" fillId="4" borderId="1" xfId="0" applyFont="1" applyFill="1" applyBorder="1"/>
    <xf numFmtId="0" fontId="7" fillId="3" borderId="37" xfId="0" applyFont="1" applyFill="1" applyBorder="1"/>
    <xf numFmtId="0" fontId="7" fillId="3" borderId="38" xfId="0" applyFont="1" applyFill="1" applyBorder="1"/>
    <xf numFmtId="0" fontId="5" fillId="4" borderId="12" xfId="0" applyFont="1" applyFill="1" applyBorder="1" applyAlignment="1" applyProtection="1">
      <alignment horizontal="center" vertical="center"/>
      <protection locked="0"/>
    </xf>
    <xf numFmtId="0" fontId="2" fillId="4" borderId="19" xfId="0" applyFont="1" applyFill="1" applyBorder="1"/>
    <xf numFmtId="0" fontId="7" fillId="4" borderId="38" xfId="0" applyFont="1" applyFill="1" applyBorder="1"/>
    <xf numFmtId="0" fontId="7" fillId="4" borderId="39" xfId="0" applyFont="1" applyFill="1" applyBorder="1"/>
    <xf numFmtId="0" fontId="2" fillId="3" borderId="19" xfId="0" applyFont="1" applyFill="1" applyBorder="1"/>
    <xf numFmtId="0" fontId="19" fillId="0" borderId="40" xfId="0" applyFont="1" applyBorder="1"/>
    <xf numFmtId="0" fontId="7" fillId="4" borderId="12" xfId="0" applyFont="1" applyFill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 horizontal="center"/>
      <protection locked="0"/>
    </xf>
    <xf numFmtId="0" fontId="8" fillId="0" borderId="0" xfId="0" applyFont="1" applyAlignment="1">
      <alignment horizontal="center"/>
    </xf>
    <xf applyAlignment="1" numFmtId="49" fontId="8" fillId="0" borderId="3" xfId="0" applyNumberFormat="1" applyFont="1" applyBorder="1">
      <alignment horizontal="center" vertical="center"/>
    </xf>
    <xf numFmtId="14" fontId="8" fillId="0" borderId="39" xfId="0" applyNumberFormat="1" applyFont="1" applyBorder="1" applyAlignment="1" applyProtection="1">
      <alignment vertical="center" horizontal="center"/>
      <protection locked="0"/>
    </xf>
    <xf numFmtId="0" fontId="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left"/>
    </xf>
    <xf applyAlignment="1" numFmtId="0" fontId="7" fillId="4" borderId="0" xfId="0" applyFont="1" applyFill="1">
      <alignment horizontal="center" vertical="center"/>
    </xf>
    <xf applyAlignment="1" numFmtId="0" fontId="15" fillId="0" borderId="12" xfId="0" applyFont="1" applyBorder="1" applyProtection="1">
      <alignment horizontal="center" vertical="center"/>
      <protection locked="0"/>
    </xf>
    <xf applyAlignment="1" numFmtId="18" fontId="7" fillId="0" borderId="0" xfId="0" applyNumberFormat="1" applyFont="1" applyProtection="1">
      <alignment horizontal="center" vertical="center"/>
      <protection locked="0"/>
    </xf>
    <xf numFmtId="0" fontId="7" fillId="0" borderId="0" xfId="0" applyFont="1" applyAlignment="1" applyProtection="1">
      <alignment vertical="center" horizontal="center"/>
      <protection locked="0"/>
    </xf>
    <xf numFmtId="0" fontId="1" fillId="0" borderId="12" xfId="0" applyFont="1" applyBorder="1" applyAlignment="1">
      <alignment horizontal="center" vertical="center"/>
    </xf>
    <xf applyAlignment="1" numFmtId="0" fontId="7" fillId="0" borderId="22" xfId="0" applyFont="1" applyBorder="1">
      <alignment horizontal="center" vertical="center"/>
    </xf>
    <xf applyAlignment="1" numFmtId="0" fontId="16" fillId="0" borderId="0" xfId="0" applyFont="1" applyProtection="1">
      <alignment horizontal="center" vertical="center"/>
      <protection locked="0"/>
    </xf>
    <xf numFmtId="0" fontId="1" fillId="0" borderId="21" xfId="0" applyFont="1" applyBorder="1" applyAlignment="1">
      <alignment horizontal="center" vertical="center"/>
    </xf>
    <xf numFmtId="0" fontId="21" fillId="4" borderId="0" xfId="0" applyFont="1" applyFill="1" applyAlignment="1">
      <alignment vertical="center" horizontal="center" wrapText="1"/>
    </xf>
    <xf applyAlignment="1" numFmtId="164" fontId="3" fillId="0" borderId="12" xfId="0" applyNumberFormat="1" applyFont="1" applyBorder="1">
      <alignment horizontal="center" vertical="center"/>
    </xf>
    <xf applyAlignment="1" numFmtId="0" fontId="11" fillId="11" borderId="12" xfId="0" applyFont="1" applyFill="1" applyBorder="1" applyProtection="1">
      <alignment horizontal="center" vertical="center"/>
      <protection locked="0"/>
    </xf>
    <xf numFmtId="0" fontId="10" fillId="11" borderId="12" xfId="0" applyFont="1" applyFill="1" applyBorder="1" applyAlignment="1" applyProtection="1">
      <alignment horizontal="center" vertical="center" wrapText="1"/>
      <protection locked="0"/>
    </xf>
    <xf numFmtId="0" fontId="9" fillId="11" borderId="12" xfId="0" applyFont="1" applyFill="1" applyBorder="1" applyAlignment="1" applyProtection="1">
      <alignment horizontal="center" vertical="center" wrapText="1"/>
      <protection locked="0"/>
    </xf>
    <xf applyAlignment="1" numFmtId="0" fontId="8" fillId="11" borderId="0" xfId="0" applyFont="1" applyFill="1">
      <alignment horizontal="center" vertical="center"/>
    </xf>
    <xf applyAlignment="1" numFmtId="0" fontId="8" fillId="11" borderId="3" xfId="0" applyFont="1" applyFill="1" applyBorder="1" applyProtection="1">
      <alignment horizontal="center" vertical="center"/>
      <protection locked="0"/>
    </xf>
    <xf applyAlignment="1" numFmtId="0" fontId="23" fillId="11" borderId="0" xfId="0" applyFont="1" applyFill="1">
      <alignment horizontal="center" vertical="center"/>
    </xf>
    <xf numFmtId="0" fontId="8" fillId="11" borderId="0" xfId="0" applyFont="1" applyFill="1" applyAlignment="1">
      <alignment vertical="center" horizontal="center" wrapText="1"/>
    </xf>
    <xf numFmtId="0" fontId="8" fillId="11" borderId="0" xfId="0" applyFont="1" applyFill="1" applyAlignment="1">
      <alignment vertical="center" horizontal="center"/>
    </xf>
    <xf numFmtId="0" fontId="3" fillId="11" borderId="0" xfId="0" applyFont="1" applyFill="1" applyAlignment="1">
      <alignment vertical="center" horizontal="center"/>
    </xf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vertical="center" horizontal="center"/>
    </xf>
    <xf numFmtId="0" fontId="19" fillId="12" borderId="4" xfId="0" applyFont="1" applyFill="1" applyBorder="1" applyAlignment="1">
      <alignment vertical="center" horizontal="center"/>
    </xf>
    <xf numFmtId="0" fontId="19" fillId="12" borderId="7" xfId="0" applyFont="1" applyFill="1" applyBorder="1" applyAlignment="1">
      <alignment vertical="center" horizontal="center"/>
    </xf>
    <xf numFmtId="0" fontId="19" fillId="12" borderId="8" xfId="0" applyFont="1" applyFill="1" applyBorder="1" applyAlignment="1">
      <alignment vertical="center" horizontal="center"/>
    </xf>
    <xf numFmtId="0" fontId="2" fillId="12" borderId="8" xfId="0" applyFont="1" applyFill="1" applyBorder="1" applyAlignment="1">
      <alignment vertical="center" horizontal="center"/>
    </xf>
    <xf numFmtId="14" fontId="8" fillId="0" borderId="5" xfId="0" applyNumberFormat="1" applyFont="1" applyBorder="1" applyAlignment="1" applyProtection="1">
      <alignment vertical="center" horizontal="center"/>
      <protection locked="0"/>
    </xf>
    <xf numFmtId="0" fontId="8" fillId="11" borderId="39" xfId="0" applyFont="1" applyFill="1" applyBorder="1" applyAlignment="1" applyProtection="1">
      <alignment horizontal="center" vertical="center"/>
      <protection locked="0"/>
    </xf>
    <xf applyAlignment="1" numFmtId="0" fontId="11" fillId="11" borderId="39" xfId="0" applyFont="1" applyFill="1" applyBorder="1" applyProtection="1">
      <alignment horizontal="center" vertical="center"/>
      <protection locked="0"/>
    </xf>
    <xf applyAlignment="1" numFmtId="0" fontId="11" fillId="11" borderId="7" xfId="0" applyFont="1" applyFill="1" applyBorder="1" applyProtection="1">
      <alignment horizontal="center" vertical="center"/>
      <protection locked="0"/>
    </xf>
    <xf applyAlignment="1" numFmtId="0" fontId="11" fillId="11" borderId="8" xfId="0" applyFont="1" applyFill="1" applyBorder="1" applyProtection="1">
      <alignment horizontal="center" vertical="center"/>
      <protection locked="0"/>
    </xf>
    <xf numFmtId="0" fontId="8" fillId="11" borderId="21" xfId="0" applyFont="1" applyFill="1" applyBorder="1" applyAlignment="1" applyProtection="1">
      <alignment horizontal="center" vertical="center"/>
      <protection locked="0"/>
    </xf>
    <xf numFmtId="0" fontId="3" fillId="13" borderId="42" xfId="0" applyFont="1" applyFill="1" applyBorder="1" applyAlignment="1">
      <alignment vertical="center" horizontal="center"/>
    </xf>
    <xf numFmtId="18" fontId="13" fillId="4" borderId="0" xfId="0" applyNumberFormat="1" applyFont="1" applyFill="1" applyAlignment="1" applyProtection="1">
      <alignment vertical="center" horizontal="center"/>
      <protection locked="0"/>
    </xf>
    <xf numFmtId="0" fontId="7" fillId="13" borderId="35" xfId="0" applyFont="1" applyFill="1" applyBorder="1" applyAlignment="1">
      <alignment horizontal="center" vertical="center"/>
    </xf>
    <xf numFmtId="0" fontId="8" fillId="13" borderId="35" xfId="0" applyFont="1" applyFill="1" applyBorder="1" applyAlignment="1">
      <alignment horizontal="center" vertical="center"/>
    </xf>
    <xf numFmtId="0" fontId="3" fillId="13" borderId="39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applyAlignment="1" numFmtId="0" fontId="23" fillId="0" borderId="0" xfId="0" applyFont="1">
      <alignment horizontal="center" vertical="center"/>
    </xf>
    <xf numFmtId="0" fontId="8" fillId="0" borderId="38" xfId="0" applyFont="1" applyBorder="1" applyAlignment="1">
      <alignment vertical="center" horizontal="center"/>
    </xf>
    <xf numFmtId="49" fontId="8" fillId="0" borderId="43" xfId="0" applyNumberFormat="1" applyFont="1" applyBorder="1" applyAlignment="1">
      <alignment vertical="center" horizontal="center"/>
    </xf>
    <xf numFmtId="49" fontId="8" fillId="0" borderId="6" xfId="0" applyNumberFormat="1" applyFont="1" applyBorder="1" applyAlignment="1">
      <alignment vertical="center" horizontal="center"/>
    </xf>
    <xf numFmtId="49" fontId="8" fillId="0" borderId="5" xfId="0" applyNumberFormat="1" applyFont="1" applyBorder="1" applyAlignment="1">
      <alignment vertical="center" horizontal="center"/>
    </xf>
    <xf numFmtId="0" fontId="3" fillId="13" borderId="36" xfId="0" applyFont="1" applyFill="1" applyBorder="1" applyAlignment="1">
      <alignment vertical="center" horizontal="center"/>
    </xf>
    <xf numFmtId="0" fontId="3" fillId="14" borderId="38" xfId="0" applyFont="1" applyFill="1" applyBorder="1" applyAlignment="1">
      <alignment vertical="center" horizontal="center"/>
    </xf>
    <xf numFmtId="0" fontId="5" fillId="4" borderId="12" xfId="0" applyFont="1" applyFill="1" applyBorder="1" applyAlignment="1" applyProtection="1">
      <alignment vertical="center" horizontal="center"/>
      <protection locked="0"/>
    </xf>
    <xf numFmtId="18" fontId="22" fillId="0" borderId="0" xfId="0" applyNumberFormat="1" applyFont="1" applyAlignment="1" applyProtection="1">
      <alignment vertical="center" horizontal="center"/>
      <protection locked="0"/>
    </xf>
    <xf applyAlignment="1" numFmtId="0" fontId="7" fillId="4" borderId="12" xfId="0" applyFont="1" applyFill="1" applyBorder="1">
      <alignment horizontal="center" vertical="center"/>
    </xf>
    <xf applyAlignment="1" numFmtId="0" fontId="7" fillId="0" borderId="44" xfId="0" applyFont="1" applyBorder="1" applyProtection="1">
      <alignment horizontal="center" vertical="center"/>
      <protection locked="0"/>
    </xf>
    <xf numFmtId="0" fontId="25" fillId="0" borderId="0" xfId="0" applyFont="1"/>
    <xf numFmtId="0" fontId="27" fillId="0" borderId="5" xfId="0" applyFont="1" applyBorder="1" applyAlignment="1">
      <alignment wrapText="1"/>
    </xf>
    <xf numFmtId="0" fontId="28" fillId="0" borderId="0" xfId="0" applyFont="1"/>
    <xf numFmtId="0" fontId="30" fillId="0" borderId="0" xfId="0" applyFont="1"/>
    <xf numFmtId="0" fontId="31" fillId="0" borderId="5" xfId="0" applyFont="1" applyBorder="1" applyAlignment="1">
      <alignment horizontal="center"/>
    </xf>
    <xf numFmtId="0" fontId="32" fillId="4" borderId="12" xfId="0" applyFont="1" applyFill="1" applyBorder="1" applyAlignment="1">
      <alignment horizontal="center"/>
    </xf>
    <xf numFmtId="0" fontId="31" fillId="4" borderId="12" xfId="0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wrapText="1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14" fontId="34" fillId="0" borderId="0" xfId="0" applyNumberFormat="1" applyFont="1" applyAlignment="1">
      <alignment horizontal="center"/>
    </xf>
    <xf numFmtId="0" fontId="28" fillId="5" borderId="12" xfId="0" applyFont="1" applyFill="1" applyBorder="1"/>
    <xf numFmtId="0" fontId="35" fillId="8" borderId="12" xfId="0" applyFont="1" applyFill="1" applyBorder="1"/>
    <xf numFmtId="0" fontId="36" fillId="0" borderId="0" xfId="0" applyFont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/>
    </xf>
    <xf numFmtId="0" fontId="28" fillId="3" borderId="5" xfId="0" applyFont="1" applyFill="1" applyBorder="1"/>
    <xf numFmtId="14" fontId="30" fillId="0" borderId="0" xfId="0" applyNumberFormat="1" applyFont="1" applyAlignment="1">
      <alignment horizontal="center"/>
    </xf>
    <xf numFmtId="0" fontId="28" fillId="6" borderId="21" xfId="0" applyFont="1" applyFill="1" applyBorder="1"/>
    <xf numFmtId="0" fontId="35" fillId="7" borderId="21" xfId="0" applyFont="1" applyFill="1" applyBorder="1"/>
    <xf numFmtId="0" fontId="28" fillId="3" borderId="21" xfId="0" applyFont="1" applyFill="1" applyBorder="1" applyAlignment="1">
      <alignment horizontal="center"/>
    </xf>
    <xf numFmtId="0" fontId="28" fillId="3" borderId="22" xfId="0" applyFont="1" applyFill="1" applyBorder="1"/>
    <xf numFmtId="0" fontId="34" fillId="0" borderId="0" xfId="0" applyFont="1"/>
    <xf numFmtId="0" fontId="34" fillId="3" borderId="23" xfId="0" applyFont="1" applyFill="1" applyBorder="1"/>
    <xf numFmtId="0" fontId="32" fillId="3" borderId="24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0" fillId="0" borderId="4" xfId="0" applyFont="1" applyBorder="1" applyAlignment="1">
      <alignment horizontal="left"/>
    </xf>
    <xf numFmtId="0" fontId="32" fillId="3" borderId="25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49" fontId="37" fillId="0" borderId="0" xfId="0" applyNumberFormat="1" applyFont="1" applyAlignment="1">
      <alignment horizontal="left"/>
    </xf>
    <xf numFmtId="18" fontId="32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0" fillId="0" borderId="31" xfId="0" applyFont="1" applyBorder="1"/>
    <xf numFmtId="49" fontId="30" fillId="0" borderId="32" xfId="0" applyNumberFormat="1" applyFont="1" applyBorder="1" applyAlignment="1">
      <alignment horizontal="center"/>
    </xf>
    <xf numFmtId="49" fontId="28" fillId="0" borderId="0" xfId="0" applyNumberFormat="1" applyFont="1" applyAlignment="1">
      <alignment horizontal="center"/>
    </xf>
    <xf numFmtId="164" fontId="34" fillId="0" borderId="33" xfId="0" applyNumberFormat="1" applyFont="1" applyBorder="1"/>
    <xf numFmtId="0" fontId="28" fillId="0" borderId="0" xfId="0" quotePrefix="1" applyFont="1"/>
    <xf numFmtId="0" fontId="7" fillId="4" borderId="12" xfId="0" applyFont="1" applyFill="1" applyBorder="1" applyAlignment="1">
      <alignment horizontal="center" vertical="center"/>
    </xf>
    <xf numFmtId="0" fontId="12" fillId="15" borderId="39" xfId="0" applyFont="1" applyFill="1" applyBorder="1" applyAlignment="1" applyProtection="1">
      <alignment horizontal="center" vertical="center" wrapText="1"/>
      <protection locked="0"/>
    </xf>
    <xf numFmtId="0" fontId="7" fillId="15" borderId="39" xfId="0" applyFont="1" applyFill="1" applyBorder="1" applyAlignment="1" applyProtection="1">
      <alignment horizontal="center" vertical="center"/>
      <protection locked="0"/>
    </xf>
    <xf numFmtId="0" fontId="12" fillId="15" borderId="12" xfId="0" applyFont="1" applyFill="1" applyBorder="1" applyAlignment="1" applyProtection="1">
      <alignment horizontal="center" vertical="center" wrapText="1"/>
      <protection locked="0"/>
    </xf>
    <xf numFmtId="0" fontId="7" fillId="15" borderId="12" xfId="0" applyFont="1" applyFill="1" applyBorder="1" applyAlignment="1" applyProtection="1">
      <alignment horizontal="center" vertical="center"/>
      <protection locked="0"/>
    </xf>
    <xf applyAlignment="1" numFmtId="0" fontId="3" fillId="4" borderId="1" xfId="0" applyFont="1" applyFill="1" applyBorder="1">
      <alignment horizontal="center" vertical="center"/>
    </xf>
    <xf applyAlignment="1" numFmtId="0" fontId="3" fillId="15" borderId="21" xfId="0" applyFont="1" applyFill="1" applyBorder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4" borderId="12" xfId="0" applyFont="1" applyFill="1" applyBorder="1" applyAlignment="1" applyProtection="1">
      <alignment vertical="center" horizontal="center"/>
      <protection locked="0"/>
    </xf>
    <xf numFmtId="0" fontId="38" fillId="4" borderId="12" xfId="0" applyFont="1" applyFill="1" applyBorder="1" applyAlignment="1" applyProtection="1">
      <alignment vertical="center" horizontal="center"/>
      <protection locked="0"/>
    </xf>
    <xf numFmtId="0" fontId="38" fillId="4" borderId="12" xfId="0" applyFont="1" applyFill="1" applyBorder="1" applyAlignment="1" applyProtection="1">
      <alignment vertical="center" horizontal="center"/>
      <protection locked="0"/>
    </xf>
    <xf numFmtId="0" fontId="7" fillId="16" borderId="0" xfId="0" applyFont="1" applyFill="1" applyAlignment="1">
      <alignment horizontal="center" vertical="center"/>
    </xf>
    <xf numFmtId="0" fontId="7" fillId="4" borderId="12" xfId="0" applyFont="1" applyFill="1" applyBorder="1" applyAlignment="1">
      <alignment vertical="center" horizontal="center"/>
    </xf>
    <xf numFmtId="0" fontId="7" fillId="4" borderId="12" xfId="0" applyFont="1" applyFill="1" applyBorder="1" applyAlignment="1">
      <alignment vertical="center" horizontal="center"/>
    </xf>
    <xf numFmtId="0" fontId="9" fillId="0" borderId="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7" fillId="5" borderId="12" xfId="0" applyFont="1" applyFill="1" applyBorder="1"/>
    <xf numFmtId="0" fontId="11" fillId="8" borderId="12" xfId="0" applyFont="1" applyFill="1" applyBorder="1"/>
    <xf numFmtId="0" fontId="12" fillId="0" borderId="0" xfId="0" applyFont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/>
    </xf>
    <xf numFmtId="0" fontId="7" fillId="3" borderId="5" xfId="0" applyFont="1" applyFill="1" applyBorder="1"/>
    <xf numFmtId="14" fontId="8" fillId="0" borderId="0" xfId="0" applyNumberFormat="1" applyFont="1" applyAlignment="1">
      <alignment horizontal="center"/>
    </xf>
    <xf numFmtId="0" fontId="7" fillId="6" borderId="21" xfId="0" applyFont="1" applyFill="1" applyBorder="1"/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/>
    <xf numFmtId="0" fontId="3" fillId="3" borderId="23" xfId="0" applyFont="1" applyFill="1" applyBorder="1"/>
    <xf numFmtId="0" fontId="10" fillId="3" borderId="13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18" fontId="10" fillId="0" borderId="0" xfId="0" applyNumberFormat="1" applyFont="1" applyAlignment="1">
      <alignment horizontal="center"/>
    </xf>
    <xf numFmtId="49" fontId="8" fillId="0" borderId="3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164" fontId="3" fillId="0" borderId="34" xfId="0" applyNumberFormat="1" applyFont="1" applyBorder="1"/>
    <xf numFmtId="164" fontId="3" fillId="0" borderId="33" xfId="0" applyNumberFormat="1" applyFont="1" applyBorder="1"/>
    <xf numFmtId="0" fontId="7" fillId="0" borderId="12" xfId="0" applyFont="1" applyBorder="1" applyAlignment="1">
      <alignment vertical="center" horizontal="center"/>
    </xf>
    <xf numFmtId="0" fontId="8" fillId="11" borderId="1" xfId="0" applyFont="1" applyFill="1" applyBorder="1" applyAlignment="1" applyProtection="1">
      <alignment horizontal="center" vertical="center"/>
      <protection locked="0"/>
    </xf>
    <xf numFmtId="0" fontId="3" fillId="11" borderId="41" xfId="0" applyFont="1" applyFill="1" applyBorder="1" applyAlignment="1">
      <alignment vertical="center" horizontal="center" wrapText="1"/>
    </xf>
    <xf numFmtId="164" fontId="7" fillId="0" borderId="0" xfId="0" applyNumberFormat="1" applyFont="1" applyAlignment="1">
      <alignment horizontal="center" vertical="center"/>
    </xf>
    <xf numFmtId="0" fontId="3" fillId="11" borderId="0" xfId="0" applyFont="1" applyFill="1" applyAlignment="1">
      <alignment vertical="center" horizontal="center"/>
    </xf>
    <xf numFmtId="0" fontId="3" fillId="11" borderId="1" xfId="0" applyFont="1" applyFill="1" applyBorder="1" applyAlignment="1">
      <alignment vertical="center" horizontal="center"/>
    </xf>
    <xf numFmtId="0" fontId="8" fillId="11" borderId="0" xfId="0" applyFont="1" applyFill="1" applyAlignment="1">
      <alignment vertical="center" horizont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8" fillId="0" borderId="37" xfId="0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13" fillId="3" borderId="1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3" fillId="0" borderId="30" xfId="0" applyNumberFormat="1" applyFont="1" applyBorder="1" applyAlignment="1">
      <alignment horizontal="center"/>
    </xf>
    <xf numFmtId="164" fontId="3" fillId="0" borderId="33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0" fontId="34" fillId="0" borderId="26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37" fillId="3" borderId="27" xfId="0" applyFont="1" applyFill="1" applyBorder="1" applyAlignment="1">
      <alignment horizontal="center" vertical="center"/>
    </xf>
    <xf numFmtId="0" fontId="37" fillId="3" borderId="29" xfId="0" applyFont="1" applyFill="1" applyBorder="1" applyAlignment="1">
      <alignment horizontal="center" vertical="center"/>
    </xf>
    <xf numFmtId="165" fontId="28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4" fillId="0" borderId="23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164" fontId="34" fillId="0" borderId="33" xfId="0" applyNumberFormat="1" applyFont="1" applyBorder="1" applyAlignment="1">
      <alignment horizontal="center"/>
    </xf>
    <xf numFmtId="164" fontId="34" fillId="0" borderId="16" xfId="0" applyNumberFormat="1" applyFont="1" applyBorder="1" applyAlignment="1">
      <alignment horizontal="center"/>
    </xf>
    <xf numFmtId="0" fontId="3" fillId="0" borderId="2" xfId="0" applyFont="1" applyBorder="1" applyAlignment="1" applyProtection="1">
      <alignment horizontal="left"/>
      <protection locked="0"/>
    </xf>
    <xf applyAlignment="1" numFmtId="0" fontId="1" fillId="0" borderId="0" xfId="0" applyFont="1">
      <alignment horizontal="center" vertical="center"/>
    </xf>
    <xf applyAlignment="1" numFmtId="0" fontId="2" fillId="0" borderId="0" xfId="0" applyFont="1">
      <alignment horizontal="center" vertical="center"/>
    </xf>
    <xf applyAlignment="1" numFmtId="0" fontId="3" fillId="0" borderId="0" xfId="0" applyFont="1">
      <alignment horizontal="center" vertical="center"/>
    </xf>
    <xf applyAlignment="1" numFmtId="0" fontId="5" fillId="0" borderId="0" xfId="0" applyFont="1">
      <alignment horizontal="center" vertical="center"/>
    </xf>
    <xf applyAlignment="1" numFmtId="0" fontId="3" fillId="0" borderId="18" xfId="0" applyFont="1" applyBorder="1">
      <alignment horizontal="center" vertical="center"/>
    </xf>
    <xf numFmtId="0" fontId="6" fillId="4" borderId="6" xfId="0" applyFont="1" applyFill="1" applyBorder="1" applyAlignment="1">
      <alignment horizontal="center" vertical="center"/>
    </xf>
    <xf applyAlignment="1" numFmtId="0" fontId="7" fillId="0" borderId="0" xfId="0" applyFont="1">
      <alignment horizontal="center" vertical="center"/>
    </xf>
    <xf applyAlignment="1" numFmtId="0" fontId="7" fillId="0" borderId="0" xfId="0" applyFont="1" applyProtection="1">
      <alignment horizontal="center" vertical="center"/>
      <protection locked="0"/>
    </xf>
    <xf applyAlignment="1" numFmtId="0" fontId="8" fillId="0" borderId="0" xfId="0" applyFont="1">
      <alignment horizontal="center" vertical="center"/>
    </xf>
    <xf applyAlignment="1" numFmtId="18" fontId="3" fillId="0" borderId="1" xfId="0" applyNumberFormat="1" applyFont="1" applyBorder="1">
      <alignment horizontal="center" vertical="center"/>
    </xf>
    <xf applyAlignment="1" numFmtId="0" fontId="3" fillId="0" borderId="1" xfId="0" applyFont="1" applyBorder="1">
      <alignment horizontal="center" vertical="center"/>
    </xf>
    <xf numFmtId="18" fontId="8" fillId="0" borderId="0" xfId="0" applyNumberFormat="1" applyFont="1" applyAlignment="1">
      <alignment vertical="center" horizontal="center"/>
    </xf>
    <xf numFmtId="0" fontId="3" fillId="0" borderId="0" xfId="0" applyFont="1" applyAlignment="1">
      <alignment vertical="center" horizontal="center"/>
    </xf>
    <xf applyAlignment="1" numFmtId="0" fontId="8" fillId="0" borderId="1" xfId="0" applyFont="1" applyBorder="1">
      <alignment horizontal="center" vertical="center"/>
    </xf>
    <xf numFmtId="0" fontId="7" fillId="0" borderId="0" xfId="0" applyFont="1" applyAlignment="1">
      <alignment vertical="center" horizontal="center"/>
    </xf>
    <xf numFmtId="49" fontId="7" fillId="0" borderId="0" xfId="0" applyNumberFormat="1" applyFont="1" applyAlignment="1">
      <alignment vertical="center" horizontal="center"/>
    </xf>
    <xf numFmtId="0" fontId="14" fillId="0" borderId="0" xfId="0" applyFont="1" applyAlignment="1">
      <alignment vertical="center" horizontal="center"/>
    </xf>
    <xf applyAlignment="1" numFmtId="49" fontId="8" fillId="0" borderId="1" xfId="0" applyNumberFormat="1" applyFont="1" applyBorder="1">
      <alignment horizontal="center" vertical="center"/>
    </xf>
    <xf applyAlignment="1" numFmtId="49" fontId="8" fillId="0" borderId="2" xfId="0" applyNumberFormat="1" applyFont="1" applyBorder="1">
      <alignment horizontal="center" vertical="center"/>
    </xf>
    <xf applyAlignment="1" numFmtId="49" fontId="13" fillId="0" borderId="0" xfId="0" applyNumberFormat="1" applyFont="1">
      <alignment horizontal="center" vertical="center"/>
    </xf>
    <xf numFmtId="49" fontId="10" fillId="0" borderId="0" xfId="0" applyNumberFormat="1" applyFont="1" applyAlignment="1">
      <alignment vertical="center" horizontal="center"/>
    </xf>
    <xf applyAlignment="1" numFmtId="0" fontId="16" fillId="0" borderId="0" xfId="0" applyFont="1">
      <alignment horizontal="center" vertical="center"/>
    </xf>
    <xf applyAlignment="1" numFmtId="0" fontId="16" fillId="0" borderId="2" xfId="0" applyFont="1" applyBorder="1">
      <alignment horizontal="center" vertical="center"/>
    </xf>
    <xf numFmtId="0" fontId="10" fillId="0" borderId="0" xfId="0" applyFont="1" applyAlignment="1">
      <alignment vertical="center" horizontal="center"/>
    </xf>
    <xf applyAlignment="1" numFmtId="18" fontId="3" fillId="0" borderId="0" xfId="0" applyNumberFormat="1" applyFont="1">
      <alignment horizontal="center" vertical="center"/>
    </xf>
    <xf numFmtId="0" fontId="2" fillId="0" borderId="6" xfId="0" applyFont="1" applyBorder="1" applyAlignment="1">
      <alignment vertical="center" horizontal="center"/>
    </xf>
    <xf numFmtId="0" fontId="19" fillId="0" borderId="0" xfId="0" applyFont="1" applyAlignment="1">
      <alignment vertical="center" horizontal="center"/>
    </xf>
    <xf applyAlignment="1" numFmtId="0" fontId="19" fillId="0" borderId="0" xfId="0" applyFont="1">
      <alignment horizontal="center" vertical="center"/>
    </xf>
    <xf numFmtId="0" fontId="2" fillId="0" borderId="5" xfId="0" applyFont="1" applyBorder="1" applyAlignment="1">
      <alignment vertical="center"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 horizontal="center"/>
    </xf>
    <xf numFmtId="0" fontId="19" fillId="4" borderId="0" xfId="0" applyFont="1" applyFill="1" applyAlignment="1">
      <alignment vertical="center" horizontal="center"/>
    </xf>
    <xf numFmtId="0" fontId="4" fillId="4" borderId="0" xfId="0" applyFont="1" applyFill="1" applyAlignment="1">
      <alignment vertical="center" horizontal="center"/>
    </xf>
    <xf numFmtId="0" fontId="7" fillId="0" borderId="0" xfId="0" applyFont="1" applyAlignment="1">
      <alignment vertical="center" horizontal="center"/>
    </xf>
    <xf applyAlignment="1" numFmtId="0" fontId="3" fillId="4" borderId="0" xfId="0" applyFont="1" applyFill="1">
      <alignment horizontal="center" vertical="center"/>
    </xf>
    <xf numFmtId="0" fontId="19" fillId="0" borderId="4" xfId="0" applyFont="1" applyBorder="1" applyAlignment="1">
      <alignment vertical="center" horizontal="center"/>
    </xf>
    <xf numFmtId="0" fontId="19" fillId="0" borderId="5" xfId="0" applyFont="1" applyBorder="1" applyAlignment="1">
      <alignment vertical="center" horizontal="center"/>
    </xf>
    <xf applyAlignment="1" numFmtId="0" fontId="3" fillId="0" borderId="9" xfId="0" applyFont="1" applyBorder="1">
      <alignment horizontal="center" vertical="center"/>
    </xf>
    <xf applyAlignment="1" numFmtId="0" fontId="3" fillId="0" borderId="10" xfId="0" applyFont="1" applyBorder="1">
      <alignment horizontal="center" vertical="center"/>
    </xf>
    <xf applyAlignment="1" numFmtId="0" fontId="20" fillId="0" borderId="0" xfId="0" applyFont="1">
      <alignment horizontal="center" vertical="center"/>
    </xf>
    <xf applyAlignment="1" numFmtId="0" fontId="10" fillId="0" borderId="0" xfId="0" applyFont="1">
      <alignment horizontal="center" vertical="center"/>
    </xf>
    <xf applyAlignment="1" numFmtId="0" fontId="16" fillId="0" borderId="19" xfId="0" applyFont="1" applyBorder="1">
      <alignment horizontal="center" vertical="center"/>
    </xf>
    <xf applyAlignment="1" numFmtId="0" fontId="16" fillId="0" borderId="18" xfId="0" applyFont="1" applyBorder="1">
      <alignment horizontal="center" vertical="center"/>
    </xf>
    <xf applyAlignment="1" numFmtId="0" fontId="7" fillId="0" borderId="18" xfId="0" applyFont="1" applyBorder="1">
      <alignment horizontal="center" vertical="center"/>
    </xf>
    <xf applyAlignment="1" numFmtId="0" fontId="7" fillId="4" borderId="12" xfId="0" applyFont="1" applyFill="1" applyBorder="1">
      <alignment horizontal="center" vertical="center"/>
    </xf>
    <xf applyAlignment="1" numFmtId="0" fontId="5" fillId="0" borderId="20" xfId="0" applyFont="1" applyBorder="1">
      <alignment horizontal="center" vertical="center"/>
    </xf>
    <xf numFmtId="164" fontId="7" fillId="0" borderId="0" xfId="0" applyNumberFormat="1" applyFont="1" applyAlignment="1">
      <alignment vertical="center" horizontal="center"/>
    </xf>
    <xf numFmtId="164" fontId="7" fillId="0" borderId="0" xfId="0" applyNumberFormat="1" applyFont="1" applyAlignment="1">
      <alignment horizontal="center" vertical="center"/>
    </xf>
    <xf numFmtId="0" fontId="7" fillId="10" borderId="35" xfId="0" applyFont="1" applyFill="1" applyBorder="1" applyAlignment="1">
      <alignment vertical="center" horizontal="center"/>
    </xf>
    <xf numFmtId="0" fontId="12" fillId="9" borderId="35" xfId="0" applyFont="1" applyFill="1" applyBorder="1" applyAlignment="1">
      <alignment vertical="center" horizontal="center"/>
    </xf>
    <xf numFmtId="164" fontId="7" fillId="4" borderId="0" xfId="0" applyNumberFormat="1" applyFont="1" applyFill="1" applyAlignment="1">
      <alignment vertical="center" horizontal="center"/>
    </xf>
    <xf applyAlignment="1" numFmtId="0" fontId="7" fillId="4" borderId="1" xfId="0" applyFont="1" applyFill="1" applyBorder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horizontal="center"/>
    </xf>
    <xf numFmtId="49" fontId="13" fillId="0" borderId="0" xfId="0" applyNumberFormat="1" applyFont="1" applyAlignment="1">
      <alignment vertical="center" horizontal="center"/>
    </xf>
    <xf numFmtId="164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772002</xdr:colOff>
      <xdr:row>0</xdr:row>
      <xdr:rowOff>115251</xdr:rowOff>
    </xdr:from>
    <xdr:to>
      <xdr:col>10</xdr:col>
      <xdr:colOff>3144759</xdr:colOff>
      <xdr:row>4</xdr:row>
      <xdr:rowOff>402002</xdr:rowOff>
    </xdr:to>
    <xdr:pic>
      <xdr:nvPicPr>
        <xdr:cNvPr id="7" name="Picture 1" descr="JW Marriott Houston Internship ...">
          <a:extLst>
            <a:ext uri="{FF2B5EF4-FFF2-40B4-BE49-F238E27FC236}">
              <a16:creationId xmlns:a16="http://schemas.microsoft.com/office/drawing/2014/main" id="{39D7273E-AE1A-4389-BC86-B41951BA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2549" y="115251"/>
          <a:ext cx="2361327" cy="1212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</xdr:colOff>
      <xdr:row>8</xdr:row>
      <xdr:rowOff>34678</xdr:rowOff>
    </xdr:from>
    <xdr:to>
      <xdr:col>8</xdr:col>
      <xdr:colOff>191770</xdr:colOff>
      <xdr:row>11</xdr:row>
      <xdr:rowOff>19050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B61851B-42D3-4368-96C6-00787194B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137798"/>
          <a:ext cx="2022475" cy="822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4</xdr:row>
      <xdr:rowOff>141358</xdr:rowOff>
    </xdr:from>
    <xdr:to>
      <xdr:col>9</xdr:col>
      <xdr:colOff>744220</xdr:colOff>
      <xdr:row>7</xdr:row>
      <xdr:rowOff>129540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21518C8-B603-4559-BD20-DA01E5C4E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6160" y="1048138"/>
          <a:ext cx="2030095" cy="822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5805-10C1-44A3-8067-B34748E36517}">
  <sheetPr>
    <pageSetUpPr fitToPage="1"/>
  </sheetPr>
  <dimension ref="A1:W64"/>
  <sheetViews>
    <sheetView tabSelected="1" view="pageBreakPreview" topLeftCell="A22" zoomScale="115" zoomScaleNormal="100" zoomScaleSheetLayoutView="115" workbookViewId="0">
      <selection activeCell="E35" sqref="E35"/>
    </sheetView>
  </sheetViews>
  <sheetFormatPr defaultColWidth="8.5703125" defaultRowHeight="21.6" customHeight="1"/>
  <cols>
    <col min="1" max="1" width="3" style="9" customWidth="1"/>
    <col min="2" max="2" width="14.28515625" style="9" customWidth="1"/>
    <col min="3" max="3" width="13.140625" style="9" customWidth="1"/>
    <col min="4" max="4" width="12.7109375" style="9" customWidth="1"/>
    <col min="5" max="5" width="20.140625" style="9" customWidth="1"/>
    <col min="6" max="6" width="13" style="9" customWidth="1"/>
    <col min="7" max="7" width="12.7109375" style="9" customWidth="1"/>
    <col min="8" max="8" width="2.140625" style="9" customWidth="1"/>
    <col min="9" max="9" width="21.140625" style="9" customWidth="1"/>
    <col min="10" max="10" width="16.42578125" style="9" customWidth="1"/>
    <col min="11" max="11" width="61.7109375" style="9" customWidth="1"/>
    <col min="12" max="12" width="1" style="9" customWidth="1"/>
    <col min="13" max="13" width="15.5703125" style="9" customWidth="1"/>
    <col min="14" max="14" width="14.28515625" style="9" customWidth="1"/>
    <col min="15" max="15" width="17.28515625" style="9" customWidth="1"/>
    <col min="16" max="16384" width="8.5703125" style="9"/>
  </cols>
  <sheetData>
    <row r="1" spans="1:13" ht="21.6" customHeight="1">
      <c r="K1" s="291"/>
    </row>
    <row r="2" spans="1:13" ht="21.6" customHeight="1">
      <c r="B2" s="330"/>
      <c r="C2" s="330"/>
      <c r="D2" s="330"/>
      <c r="K2" s="291"/>
    </row>
    <row r="3" spans="1:13" ht="21.6" customHeight="1">
      <c r="B3" s="330"/>
      <c r="C3" s="330"/>
      <c r="D3" s="330"/>
      <c r="E3" s="330"/>
      <c r="F3" s="330"/>
      <c r="G3" s="330"/>
      <c r="K3" s="291"/>
    </row>
    <row r="4" spans="1:13" ht="6.6" customHeight="1">
      <c r="B4" s="330"/>
      <c r="C4" s="330"/>
      <c r="D4" s="330"/>
      <c r="E4" s="330"/>
      <c r="F4" s="330"/>
      <c r="G4" s="330"/>
      <c r="K4" s="291"/>
    </row>
    <row r="5" spans="1:13" ht="37.15" customHeight="1">
      <c r="A5" s="331"/>
      <c r="B5" s="292" t="s">
        <v>0</v>
      </c>
      <c r="C5" s="292"/>
      <c r="D5" s="292"/>
      <c r="E5" s="173" t="s">
        <v>1</v>
      </c>
      <c r="F5" s="173" t="s">
        <v>2</v>
      </c>
      <c r="G5" s="174" t="s">
        <v>3</v>
      </c>
      <c r="K5" s="291"/>
    </row>
    <row r="6" spans="1:13" ht="21.6" customHeight="1">
      <c r="B6" s="191" t="s">
        <v>4</v>
      </c>
      <c r="C6" s="192">
        <f>(E6+F6)-G6</f>
        <v>143</v>
      </c>
      <c r="D6" s="193"/>
      <c r="E6" s="253">
        <v>3</v>
      </c>
      <c r="F6" s="254">
        <v>140</v>
      </c>
      <c r="G6" s="254"/>
      <c r="I6" s="200" t="s">
        <v>5</v>
      </c>
      <c r="J6" s="159" t="s">
        <v>6</v>
      </c>
      <c r="K6" s="196" t="s">
        <v>7</v>
      </c>
    </row>
    <row r="7" spans="1:13" ht="21.6" customHeight="1">
      <c r="B7" s="195" t="s">
        <v>8</v>
      </c>
      <c r="C7" s="172">
        <f>(E7+F7)-G7</f>
        <v>56</v>
      </c>
      <c r="D7" s="194"/>
      <c r="E7" s="255">
        <v>3</v>
      </c>
      <c r="F7" s="256">
        <v>53</v>
      </c>
      <c r="G7" s="256"/>
      <c r="I7" s="201" t="s">
        <v>9</v>
      </c>
      <c r="J7" s="190" t="s">
        <v>10</v>
      </c>
      <c r="K7" s="258" t="s">
        <v>11</v>
      </c>
    </row>
    <row r="8" spans="1:13" ht="21.6" customHeight="1">
      <c r="A8" s="325"/>
      <c r="B8" s="156" t="s">
        <v>12</v>
      </c>
      <c r="C8" s="330"/>
      <c r="D8" s="330"/>
      <c r="E8" s="330"/>
      <c r="F8" s="330"/>
      <c r="G8" s="330"/>
      <c r="H8" s="325"/>
      <c r="I8" s="375" t="s">
        <v>13</v>
      </c>
      <c r="K8" s="260"/>
    </row>
    <row r="9" spans="1:13" ht="21.6" customHeight="1">
      <c r="B9" s="375" t="s">
        <v>14</v>
      </c>
      <c r="C9" s="298" t="s">
        <v>15</v>
      </c>
      <c r="D9" s="298"/>
      <c r="E9" s="298"/>
      <c r="F9" s="332"/>
      <c r="G9" s="333"/>
      <c r="H9" s="325"/>
      <c r="I9" s="375" t="s">
        <v>14</v>
      </c>
      <c r="J9" s="257" t="s">
        <v>16</v>
      </c>
      <c r="K9" s="299"/>
      <c r="L9" s="325"/>
      <c r="M9" s="334"/>
    </row>
    <row r="10" spans="1:13" ht="21.6" customHeight="1">
      <c r="F10" s="167"/>
      <c r="K10" s="300"/>
    </row>
    <row r="11" spans="1:13" ht="21.6" customHeight="1">
      <c r="B11" s="295" t="s">
        <v>17</v>
      </c>
      <c r="C11" s="295"/>
      <c r="D11" s="180"/>
      <c r="E11" s="179" t="s">
        <v>18</v>
      </c>
      <c r="F11" s="335"/>
      <c r="H11" s="333"/>
      <c r="I11" s="296" t="s">
        <v>19</v>
      </c>
      <c r="J11" s="296"/>
      <c r="K11" s="259"/>
      <c r="L11" s="325"/>
      <c r="M11" s="335"/>
    </row>
    <row r="12" spans="1:13" ht="21.6" customHeight="1">
      <c r="A12" s="336">
        <v>1</v>
      </c>
      <c r="B12" s="265" t="s">
        <v>20</v>
      </c>
      <c r="E12" s="206"/>
      <c r="F12" s="205"/>
      <c r="H12" s="325">
        <v>1</v>
      </c>
      <c r="I12" s="213" t="s">
        <v>21</v>
      </c>
      <c r="J12" s="160"/>
      <c r="K12" s="259"/>
      <c r="L12" s="325"/>
      <c r="M12" s="335"/>
    </row>
    <row r="13" spans="1:13" ht="21.6" customHeight="1">
      <c r="A13" s="336">
        <v>2</v>
      </c>
      <c r="B13" s="265" t="s">
        <v>22</v>
      </c>
      <c r="E13" s="206"/>
      <c r="F13" s="205"/>
      <c r="H13" s="377"/>
      <c r="I13" s="162"/>
      <c r="K13" s="259"/>
      <c r="M13" s="337"/>
    </row>
    <row r="14" spans="1:13" ht="21.6" customHeight="1">
      <c r="A14" s="336">
        <v>3</v>
      </c>
      <c r="B14" s="266"/>
      <c r="E14" s="206"/>
      <c r="F14" s="205"/>
      <c r="I14" s="175" t="s">
        <v>23</v>
      </c>
      <c r="K14" s="259"/>
      <c r="M14" s="337"/>
    </row>
    <row r="15" spans="1:13" ht="21.6" customHeight="1">
      <c r="A15" s="336">
        <v>4</v>
      </c>
      <c r="B15" s="266"/>
      <c r="E15" s="206"/>
      <c r="F15" s="205"/>
      <c r="H15" s="166">
        <v>1</v>
      </c>
      <c r="I15" s="213" t="s">
        <v>24</v>
      </c>
      <c r="K15" s="259"/>
      <c r="M15" s="337"/>
    </row>
    <row r="16" spans="1:13" ht="21.6" customHeight="1">
      <c r="A16" s="336">
        <v>5</v>
      </c>
      <c r="B16" s="266"/>
      <c r="E16" s="206"/>
      <c r="F16" s="205"/>
      <c r="H16" s="166">
        <v>2</v>
      </c>
      <c r="I16" s="163"/>
      <c r="K16" s="259"/>
      <c r="M16" s="337"/>
    </row>
    <row r="17" spans="1:23" ht="21.6" customHeight="1">
      <c r="A17" s="333">
        <v>6</v>
      </c>
      <c r="B17" s="266"/>
      <c r="C17" s="212"/>
      <c r="D17" s="212"/>
      <c r="E17" s="206"/>
      <c r="F17" s="205"/>
      <c r="I17" s="176" t="s">
        <v>25</v>
      </c>
      <c r="K17" s="259"/>
      <c r="M17" s="337"/>
    </row>
    <row r="18" spans="1:23" ht="21.6" customHeight="1">
      <c r="A18" s="338"/>
      <c r="E18" s="337"/>
      <c r="F18" s="337"/>
      <c r="H18" s="166">
        <v>1</v>
      </c>
      <c r="I18" s="213" t="s">
        <v>26</v>
      </c>
      <c r="K18" s="259"/>
      <c r="M18" s="337"/>
    </row>
    <row r="19" spans="1:23" ht="21.6" customHeight="1">
      <c r="A19" s="333"/>
      <c r="B19" s="293" t="s">
        <v>27</v>
      </c>
      <c r="C19" s="293"/>
      <c r="D19" s="178"/>
      <c r="E19" s="179" t="s">
        <v>18</v>
      </c>
      <c r="F19" s="339"/>
      <c r="H19" s="166">
        <v>2</v>
      </c>
      <c r="I19" s="213" t="s">
        <v>28</v>
      </c>
      <c r="J19" s="325"/>
      <c r="K19" s="259"/>
      <c r="L19" s="325"/>
      <c r="M19" s="335" t="s">
        <v>29</v>
      </c>
    </row>
    <row r="20" spans="1:23" ht="21.6" customHeight="1">
      <c r="A20" s="340" t="s">
        <v>30</v>
      </c>
      <c r="B20" s="265" t="s">
        <v>31</v>
      </c>
      <c r="C20" s="376"/>
      <c r="E20" s="206"/>
      <c r="F20" s="205"/>
      <c r="I20" s="202" t="s">
        <v>32</v>
      </c>
      <c r="J20" s="170"/>
      <c r="K20" s="259"/>
      <c r="L20" s="325"/>
      <c r="M20" s="335"/>
    </row>
    <row r="21" spans="1:23" ht="21.6" customHeight="1">
      <c r="A21" s="341" t="s">
        <v>33</v>
      </c>
      <c r="B21" s="265" t="s">
        <v>34</v>
      </c>
      <c r="E21" s="207"/>
      <c r="F21" s="205"/>
      <c r="G21" s="329" t="s">
        <v>29</v>
      </c>
      <c r="H21" s="166">
        <v>1</v>
      </c>
      <c r="I21" s="252" t="s">
        <v>35</v>
      </c>
      <c r="J21" s="164"/>
      <c r="K21" s="259"/>
      <c r="L21" s="325"/>
      <c r="M21" s="335"/>
    </row>
    <row r="22" spans="1:23" ht="21.6" customHeight="1">
      <c r="A22" s="341" t="s">
        <v>36</v>
      </c>
      <c r="B22" s="367"/>
      <c r="C22" s="376"/>
      <c r="E22" s="208"/>
      <c r="F22" s="205"/>
      <c r="H22" s="166">
        <v>2</v>
      </c>
      <c r="I22" s="203"/>
      <c r="J22" s="165"/>
      <c r="K22" s="259"/>
      <c r="L22" s="325"/>
      <c r="M22" s="335"/>
    </row>
    <row r="23" spans="1:23" ht="21.6" customHeight="1">
      <c r="A23" s="341" t="s">
        <v>37</v>
      </c>
      <c r="B23" s="367"/>
      <c r="E23" s="208"/>
      <c r="F23" s="205"/>
      <c r="I23" s="177" t="s">
        <v>38</v>
      </c>
      <c r="J23" s="165"/>
      <c r="K23" s="259"/>
      <c r="L23" s="325"/>
      <c r="M23" s="335"/>
      <c r="W23" s="329" t="s">
        <v>29</v>
      </c>
    </row>
    <row r="24" spans="1:23" ht="21.6" customHeight="1">
      <c r="A24" s="341" t="s">
        <v>39</v>
      </c>
      <c r="B24" s="367"/>
      <c r="C24" s="376"/>
      <c r="D24" s="376"/>
      <c r="E24" s="208"/>
      <c r="F24" s="205"/>
      <c r="H24" s="166">
        <v>1</v>
      </c>
      <c r="I24" s="252" t="s">
        <v>40</v>
      </c>
      <c r="J24" s="165"/>
      <c r="K24" s="214"/>
    </row>
    <row r="25" spans="1:23" ht="21.6" customHeight="1">
      <c r="A25" s="158" t="s">
        <v>41</v>
      </c>
      <c r="B25" s="367"/>
      <c r="C25" s="376"/>
      <c r="D25" s="376"/>
      <c r="E25" s="208"/>
      <c r="F25" s="205"/>
      <c r="H25" s="169">
        <v>2</v>
      </c>
      <c r="I25" s="252" t="s">
        <v>42</v>
      </c>
      <c r="J25" s="165"/>
      <c r="K25" s="214"/>
    </row>
    <row r="26" spans="1:23" ht="21.6" customHeight="1">
      <c r="A26" s="342"/>
      <c r="B26" s="367"/>
      <c r="C26" s="197"/>
      <c r="D26" s="197"/>
      <c r="E26" s="343"/>
      <c r="F26" s="376"/>
      <c r="H26" s="166">
        <v>3</v>
      </c>
      <c r="I26" s="203"/>
      <c r="J26" s="168"/>
      <c r="K26" s="214"/>
    </row>
    <row r="27" spans="1:23" ht="21.6" customHeight="1">
      <c r="A27" s="342"/>
      <c r="B27" s="297" t="s">
        <v>43</v>
      </c>
      <c r="C27" s="297"/>
      <c r="D27" s="171">
        <f>C7/(COUNTA(B20:B25))</f>
        <v>28</v>
      </c>
      <c r="F27" s="346"/>
      <c r="J27" s="168"/>
      <c r="K27" s="214"/>
    </row>
    <row r="28" spans="1:23" ht="21.6" customHeight="1">
      <c r="A28" s="342"/>
      <c r="B28" s="295" t="s">
        <v>44</v>
      </c>
      <c r="C28" s="295"/>
      <c r="D28" s="171">
        <f>C7/(COUNTA(B12:B17))</f>
        <v>28</v>
      </c>
      <c r="F28" s="346"/>
      <c r="J28" s="344"/>
      <c r="K28" s="214"/>
    </row>
    <row r="29" spans="1:23" ht="21.6" customHeight="1">
      <c r="A29" s="342"/>
      <c r="F29" s="346"/>
      <c r="J29" s="168"/>
      <c r="K29" s="214"/>
    </row>
    <row r="30" spans="1:23" ht="21.6" customHeight="1">
      <c r="A30" s="342"/>
      <c r="B30" s="331"/>
      <c r="C30" s="347"/>
      <c r="D30" s="347"/>
      <c r="E30" s="325"/>
      <c r="F30" s="346"/>
    </row>
    <row r="31" spans="1:23" ht="21.6" customHeight="1">
      <c r="A31" s="342"/>
      <c r="B31" s="331"/>
      <c r="C31" s="347"/>
      <c r="D31" s="347"/>
      <c r="E31" s="325"/>
      <c r="F31" s="346"/>
    </row>
    <row r="33" spans="2:23" ht="21.6" customHeight="1" thickBot="1"/>
    <row r="34" spans="2:23" ht="21.6" customHeight="1" thickBot="1">
      <c r="C34" s="181" t="s">
        <v>45</v>
      </c>
      <c r="D34" s="182" t="s">
        <v>46</v>
      </c>
      <c r="E34" s="183" t="s">
        <v>47</v>
      </c>
      <c r="F34" s="181" t="s">
        <v>45</v>
      </c>
      <c r="G34" s="182" t="s">
        <v>46</v>
      </c>
      <c r="H34" s="183" t="s">
        <v>47</v>
      </c>
      <c r="I34" s="184"/>
    </row>
    <row r="35" spans="2:23" ht="21.6" customHeight="1" thickBot="1">
      <c r="C35" s="185" t="s">
        <v>48</v>
      </c>
      <c r="D35" s="328" t="str">
        <f>IF(E35="","",COUNTA($E35:E$35))</f>
        <v/>
      </c>
      <c r="E35" s="261"/>
      <c r="F35" s="187" t="s">
        <v>49</v>
      </c>
      <c r="G35" s="328" t="str">
        <f>IF(I35="","",(COUNTA($I$35:I35)+COUNTA($E$35:$E$45)))</f>
        <v/>
      </c>
      <c r="H35" s="348"/>
      <c r="I35" s="261"/>
      <c r="K35" s="371" t="s">
        <v>50</v>
      </c>
      <c r="P35" s="349"/>
      <c r="Q35" s="349"/>
      <c r="R35" s="350"/>
      <c r="S35" s="349"/>
      <c r="T35" s="349"/>
      <c r="U35" s="349"/>
      <c r="V35" s="350"/>
      <c r="W35" s="349"/>
    </row>
    <row r="36" spans="2:23" ht="21.6" customHeight="1" thickBot="1">
      <c r="C36" s="186" t="s">
        <v>51</v>
      </c>
      <c r="D36" s="328" t="str">
        <f>IF(E36="","",COUNTA($E$35:E36))</f>
        <v/>
      </c>
      <c r="E36" s="261"/>
      <c r="F36" s="188" t="s">
        <v>52</v>
      </c>
      <c r="G36" s="328" t="str">
        <f>IF(I36="","",(COUNTA($I$35:I36)+COUNTA($E$35:$E$45)))</f>
        <v/>
      </c>
      <c r="H36" s="351"/>
      <c r="I36" s="261"/>
      <c r="K36" s="352">
        <f>COUNTA(I35:I47,E35:E47)</f>
        <v>10</v>
      </c>
      <c r="P36" s="349"/>
      <c r="R36" s="353"/>
      <c r="S36" s="349"/>
      <c r="T36" s="354"/>
      <c r="U36" s="354"/>
      <c r="V36" s="354"/>
      <c r="W36" s="355"/>
    </row>
    <row r="37" spans="2:23" ht="21.6" customHeight="1" thickBot="1">
      <c r="C37" s="185" t="s">
        <v>53</v>
      </c>
      <c r="D37" s="328">
        <f>IF(E37="","",COUNTA($E$35:E37))</f>
        <v>1</v>
      </c>
      <c r="E37" s="262" t="s">
        <v>54</v>
      </c>
      <c r="F37" s="187" t="s">
        <v>55</v>
      </c>
      <c r="G37" s="328">
        <f>IF(I37="","",(COUNTA($I$35:I37)+COUNTA($E$35:$E$45)))</f>
        <v>6</v>
      </c>
      <c r="H37" s="351"/>
      <c r="I37" s="262" t="s">
        <v>56</v>
      </c>
      <c r="K37" s="372" t="s">
        <v>57</v>
      </c>
      <c r="P37" s="349"/>
      <c r="Q37" s="349"/>
      <c r="R37" s="353"/>
      <c r="S37" s="349"/>
      <c r="T37" s="354"/>
      <c r="U37" s="354"/>
      <c r="V37" s="354"/>
      <c r="W37" s="355"/>
    </row>
    <row r="38" spans="2:23" ht="21.6" customHeight="1" thickBot="1">
      <c r="C38" s="186" t="s">
        <v>58</v>
      </c>
      <c r="D38" s="328" t="str">
        <f>IF(E38="","",COUNTA($E$35:E38))</f>
        <v/>
      </c>
      <c r="E38" s="261"/>
      <c r="F38" s="188" t="s">
        <v>59</v>
      </c>
      <c r="G38" s="328">
        <f>IF(I38="","",(COUNTA($I$35:I38)+COUNTA($E$35:$E$45)))</f>
        <v>7</v>
      </c>
      <c r="H38" s="351"/>
      <c r="I38" s="262" t="s">
        <v>60</v>
      </c>
      <c r="K38" s="378">
        <f>C6/K36</f>
        <v>14.3</v>
      </c>
      <c r="L38" s="378"/>
      <c r="P38" s="349"/>
      <c r="Q38" s="349"/>
      <c r="R38" s="353"/>
      <c r="S38" s="349"/>
      <c r="T38" s="354"/>
      <c r="U38" s="354"/>
      <c r="V38" s="354"/>
      <c r="W38" s="355"/>
    </row>
    <row r="39" spans="2:23" ht="21.6" customHeight="1" thickBot="1">
      <c r="C39" s="185" t="s">
        <v>61</v>
      </c>
      <c r="D39" s="328" t="str">
        <f>IF(E39="","",COUNTA($E$35:E39))</f>
        <v/>
      </c>
      <c r="E39" s="261"/>
      <c r="F39" s="187" t="s">
        <v>62</v>
      </c>
      <c r="G39" s="328" t="str">
        <f>IF(I39="","",(COUNTA($I$35:I39)+COUNTA($E$35:$E$45)))</f>
        <v/>
      </c>
      <c r="H39" s="351"/>
      <c r="I39" s="261"/>
      <c r="K39" s="372" t="s">
        <v>63</v>
      </c>
      <c r="P39" s="349"/>
      <c r="Q39" s="349"/>
      <c r="R39" s="353"/>
      <c r="S39" s="349"/>
      <c r="T39" s="354"/>
      <c r="U39" s="354"/>
      <c r="V39" s="354"/>
      <c r="W39" s="355"/>
    </row>
    <row r="40" spans="2:23" ht="21.6" customHeight="1">
      <c r="C40" s="186" t="s">
        <v>64</v>
      </c>
      <c r="D40" s="328">
        <f>IF(E40="","",COUNTA($E$35:E40))</f>
        <v>2</v>
      </c>
      <c r="E40" s="262" t="s">
        <v>65</v>
      </c>
      <c r="F40" s="188" t="s">
        <v>66</v>
      </c>
      <c r="G40" s="328" t="str">
        <f>IF(I40="","",(COUNTA($I$35:I40)+COUNTA($E$35:$E$45)))</f>
        <v/>
      </c>
      <c r="H40" s="351"/>
      <c r="I40" s="261"/>
      <c r="K40" s="370">
        <f>C7/K36</f>
        <v>5.6</v>
      </c>
      <c r="P40" s="349"/>
      <c r="Q40" s="349"/>
      <c r="R40" s="353"/>
      <c r="S40" s="349"/>
      <c r="T40" s="354"/>
      <c r="U40" s="354"/>
      <c r="V40" s="354"/>
      <c r="W40" s="355"/>
    </row>
    <row r="41" spans="2:23" ht="21.6" customHeight="1">
      <c r="C41" s="185" t="s">
        <v>67</v>
      </c>
      <c r="D41" s="328">
        <f>IF(E41="","",COUNTA($E$35:E41))</f>
        <v>3</v>
      </c>
      <c r="E41" s="262" t="s">
        <v>68</v>
      </c>
      <c r="F41" s="187" t="s">
        <v>69</v>
      </c>
      <c r="G41" s="328">
        <f>IF(I41="","",(COUNTA($I$35:I41)+COUNTA($E$35:$E$45)))</f>
        <v>8</v>
      </c>
      <c r="H41" s="351"/>
      <c r="I41" s="262" t="s">
        <v>70</v>
      </c>
      <c r="P41" s="349"/>
      <c r="R41" s="353"/>
      <c r="S41" s="354"/>
      <c r="T41" s="354"/>
      <c r="U41" s="354"/>
      <c r="V41" s="354"/>
      <c r="W41" s="355"/>
    </row>
    <row r="42" spans="2:23" ht="21.6" customHeight="1">
      <c r="C42" s="186" t="s">
        <v>71</v>
      </c>
      <c r="D42" s="328">
        <f>IF(E42="","",COUNTA($E$35:E42))</f>
        <v>4</v>
      </c>
      <c r="E42" s="262" t="s">
        <v>72</v>
      </c>
      <c r="F42" s="188" t="s">
        <v>73</v>
      </c>
      <c r="G42" s="328">
        <f>IF(I42="","",(COUNTA($I$35:I42)+COUNTA($E$35:$E$45)))</f>
        <v>9</v>
      </c>
      <c r="H42" s="351"/>
      <c r="I42" s="262" t="s">
        <v>74</v>
      </c>
      <c r="K42" s="204"/>
      <c r="P42" s="349"/>
      <c r="Q42" s="349"/>
      <c r="R42" s="353"/>
      <c r="S42" s="354"/>
      <c r="T42" s="354"/>
      <c r="U42" s="354"/>
      <c r="V42" s="354"/>
      <c r="W42" s="355"/>
    </row>
    <row r="43" spans="2:23" ht="21.6" customHeight="1">
      <c r="C43" s="185" t="s">
        <v>75</v>
      </c>
      <c r="D43" s="328">
        <f>IF(E43="","",COUNTA($E$35:E43))</f>
        <v>5</v>
      </c>
      <c r="E43" s="262" t="s">
        <v>76</v>
      </c>
      <c r="F43" s="187" t="s">
        <v>77</v>
      </c>
      <c r="G43" s="328" t="str">
        <f>IF(I43="","",(COUNTA($I$35:I43)+COUNTA($E$35:$E$45)))</f>
        <v/>
      </c>
      <c r="H43" s="351"/>
      <c r="I43" s="261"/>
      <c r="P43" s="349"/>
      <c r="Q43" s="349"/>
      <c r="R43" s="353"/>
      <c r="S43" s="354"/>
      <c r="T43" s="354"/>
      <c r="U43" s="354"/>
      <c r="V43" s="354"/>
      <c r="W43" s="355"/>
    </row>
    <row r="44" spans="2:23" ht="21.6" customHeight="1">
      <c r="B44" s="329" t="s">
        <v>29</v>
      </c>
      <c r="C44" s="186" t="s">
        <v>78</v>
      </c>
      <c r="D44" s="328" t="str">
        <f>IF(E44="","",COUNTA($E$35:E44))</f>
        <v/>
      </c>
      <c r="E44" s="261"/>
      <c r="F44" s="188" t="s">
        <v>79</v>
      </c>
      <c r="G44" s="328">
        <f>IF(I44="","",(COUNTA($I$35:I44)+COUNTA($E$35:$E$45)))</f>
        <v>10</v>
      </c>
      <c r="H44" s="351"/>
      <c r="I44" s="262" t="s">
        <v>80</v>
      </c>
      <c r="P44" s="349"/>
      <c r="Q44" s="349"/>
      <c r="R44" s="353"/>
      <c r="S44" s="354"/>
      <c r="T44" s="354"/>
      <c r="U44" s="354"/>
      <c r="V44" s="354"/>
      <c r="W44" s="355"/>
    </row>
    <row r="45" spans="2:23" ht="21.6" customHeight="1">
      <c r="B45" s="356"/>
      <c r="C45" s="185" t="s">
        <v>81</v>
      </c>
      <c r="D45" s="328" t="str">
        <f>IF(E45="","",COUNTA($E$35:E45))</f>
        <v/>
      </c>
      <c r="E45" s="261"/>
      <c r="F45" s="189" t="s">
        <v>82</v>
      </c>
      <c r="G45" s="328" t="str">
        <f>IF(I45="","",(COUNTA($I$35:I45)+COUNTA($E$35:$E$45)))</f>
        <v/>
      </c>
      <c r="H45" s="351"/>
      <c r="I45" s="211"/>
      <c r="P45" s="349"/>
      <c r="Q45" s="349"/>
      <c r="R45" s="353"/>
      <c r="S45" s="357"/>
      <c r="T45" s="354"/>
      <c r="U45" s="354"/>
      <c r="V45" s="354"/>
      <c r="W45" s="355"/>
    </row>
    <row r="46" spans="2:23" ht="21.6" customHeight="1">
      <c r="C46" s="358" t="s">
        <v>83</v>
      </c>
      <c r="D46" s="328" t="str">
        <f>IF(E46="","",COUNTA($E$36:E46))</f>
        <v/>
      </c>
      <c r="E46" s="211"/>
      <c r="F46" s="189" t="s">
        <v>84</v>
      </c>
      <c r="G46" s="328" t="str">
        <f>IF(I46="","",(COUNTA($I$35:I46)+COUNTA($E$35:$E$45)))</f>
        <v/>
      </c>
      <c r="H46" s="359"/>
      <c r="I46" s="211"/>
      <c r="P46" s="349"/>
      <c r="Q46" s="349"/>
      <c r="R46" s="353"/>
      <c r="S46" s="354"/>
      <c r="T46" s="354"/>
      <c r="U46" s="354"/>
      <c r="V46" s="354"/>
      <c r="W46" s="355"/>
    </row>
    <row r="47" spans="2:23" thickBot="1">
      <c r="C47" s="360"/>
      <c r="D47" s="328" t="str">
        <f>IF(E47="","",COUNTA($E$36:E47))</f>
        <v/>
      </c>
      <c r="E47" s="368"/>
      <c r="F47" s="189" t="s">
        <v>85</v>
      </c>
      <c r="G47" s="328" t="str">
        <f>IF(I47="","",(COUNTA($I$35:I47)+COUNTA($E$35:$E$45)))</f>
        <v/>
      </c>
      <c r="H47" s="361"/>
      <c r="I47" s="211"/>
      <c r="J47" s="210" t="s">
        <v>86</v>
      </c>
      <c r="K47" s="325"/>
      <c r="P47" s="349"/>
      <c r="Q47" s="349"/>
      <c r="R47" s="353"/>
      <c r="S47" s="354"/>
      <c r="T47" s="354"/>
      <c r="U47" s="354"/>
      <c r="V47" s="354"/>
      <c r="W47" s="354"/>
    </row>
    <row r="48" spans="2:23" ht="21.6" customHeight="1" thickBot="1">
      <c r="C48" s="362" t="s">
        <v>87</v>
      </c>
      <c r="D48" s="362"/>
      <c r="F48" s="362" t="s">
        <v>88</v>
      </c>
      <c r="G48" s="363"/>
      <c r="H48" s="363"/>
      <c r="I48" s="153"/>
      <c r="J48" s="209" t="s">
        <v>89</v>
      </c>
      <c r="K48" s="198" t="s">
        <v>90</v>
      </c>
    </row>
    <row r="49" spans="2:13" ht="21.6" customHeight="1" thickBot="1">
      <c r="C49" s="329">
        <v>1</v>
      </c>
      <c r="E49" s="263" t="s">
        <v>91</v>
      </c>
      <c r="G49" s="329" t="s">
        <v>92</v>
      </c>
      <c r="J49" s="264">
        <v>152</v>
      </c>
      <c r="K49" s="329">
        <f>COUNTA(E49:E60)</f>
        <v>4</v>
      </c>
    </row>
    <row r="50" spans="2:13" ht="21.6" customHeight="1" thickBot="1">
      <c r="C50" s="324">
        <v>2</v>
      </c>
      <c r="D50" s="324"/>
      <c r="E50" s="263" t="s">
        <v>35</v>
      </c>
      <c r="F50" s="324">
        <v>1</v>
      </c>
      <c r="G50" s="345"/>
      <c r="H50" s="345"/>
      <c r="I50" s="345"/>
      <c r="K50" s="199" t="s">
        <v>57</v>
      </c>
    </row>
    <row r="51" spans="2:13" ht="21.6" customHeight="1">
      <c r="C51" s="324">
        <v>3</v>
      </c>
      <c r="D51" s="324"/>
      <c r="E51" s="263" t="s">
        <v>93</v>
      </c>
      <c r="F51" s="324">
        <v>2</v>
      </c>
      <c r="G51" s="345"/>
      <c r="H51" s="345"/>
      <c r="I51" s="345"/>
      <c r="K51" s="373">
        <f>J49/K49</f>
        <v>38</v>
      </c>
    </row>
    <row r="52" spans="2:13" ht="21.6" customHeight="1">
      <c r="C52" s="324">
        <v>4</v>
      </c>
      <c r="D52" s="324"/>
      <c r="E52" s="263" t="s">
        <v>94</v>
      </c>
      <c r="F52" s="324">
        <v>3</v>
      </c>
      <c r="G52" s="345"/>
      <c r="H52" s="345"/>
      <c r="I52" s="345"/>
      <c r="L52" s="369"/>
    </row>
    <row r="53" spans="2:13" ht="21.6" customHeight="1">
      <c r="C53" s="324">
        <v>5</v>
      </c>
      <c r="D53" s="324"/>
      <c r="E53" s="211"/>
      <c r="F53" s="324">
        <v>4</v>
      </c>
      <c r="G53" s="345"/>
      <c r="H53" s="345"/>
      <c r="I53" s="345"/>
    </row>
    <row r="54" spans="2:13" ht="21.6" customHeight="1" thickBot="1">
      <c r="C54" s="324">
        <v>6</v>
      </c>
      <c r="D54" s="324"/>
      <c r="E54" s="211"/>
      <c r="F54" s="324">
        <v>5</v>
      </c>
      <c r="G54" s="364"/>
      <c r="H54" s="364"/>
      <c r="I54" s="364"/>
    </row>
    <row r="55" spans="2:13" ht="21.6" customHeight="1">
      <c r="C55" s="324">
        <v>7</v>
      </c>
      <c r="D55" s="324"/>
      <c r="E55" s="374"/>
      <c r="F55" s="325"/>
      <c r="G55" s="344"/>
      <c r="H55" s="344"/>
      <c r="I55" s="344"/>
      <c r="M55" s="329" t="s">
        <v>95</v>
      </c>
    </row>
    <row r="56" spans="2:13" ht="21.6" customHeight="1">
      <c r="C56" s="324"/>
      <c r="D56" s="324"/>
      <c r="E56" s="374"/>
      <c r="F56" s="324"/>
      <c r="G56" s="344"/>
      <c r="H56" s="344"/>
      <c r="I56" s="344"/>
    </row>
    <row r="57" spans="2:13" ht="21.6" customHeight="1">
      <c r="C57" s="323"/>
      <c r="D57" s="323"/>
      <c r="E57" s="344"/>
      <c r="F57" s="344"/>
      <c r="G57" s="344"/>
      <c r="H57" s="344"/>
      <c r="I57" s="344"/>
    </row>
    <row r="58" spans="2:13" ht="21.6" customHeight="1" thickBot="1">
      <c r="B58" s="326"/>
      <c r="C58" s="326" t="s">
        <v>96</v>
      </c>
      <c r="D58" s="326"/>
      <c r="E58" s="327"/>
      <c r="F58" s="326" t="s">
        <v>97</v>
      </c>
      <c r="G58" s="365"/>
      <c r="H58" s="365"/>
      <c r="I58" s="365"/>
      <c r="J58" s="326" t="s">
        <v>98</v>
      </c>
      <c r="K58" s="366"/>
    </row>
    <row r="59" spans="2:13" ht="21.6" customHeight="1">
      <c r="C59" s="323"/>
      <c r="D59" s="323"/>
      <c r="E59" s="325"/>
      <c r="F59" s="344"/>
      <c r="G59" s="344"/>
      <c r="H59" s="344"/>
      <c r="I59" s="344"/>
    </row>
    <row r="60" spans="2:13" ht="21.6" customHeight="1">
      <c r="C60" s="344"/>
      <c r="D60" s="344"/>
      <c r="E60" s="325"/>
      <c r="F60" s="344"/>
      <c r="G60" s="344"/>
      <c r="H60" s="344"/>
      <c r="I60" s="344"/>
    </row>
    <row r="61" spans="2:13" ht="21.6" customHeight="1">
      <c r="C61" s="344"/>
      <c r="D61" s="344"/>
      <c r="E61" s="344"/>
      <c r="F61" s="344"/>
      <c r="G61" s="344"/>
      <c r="H61" s="344"/>
      <c r="I61" s="344"/>
    </row>
    <row r="62" spans="2:13" ht="21.6" customHeight="1">
      <c r="F62" s="344"/>
      <c r="G62" s="344"/>
      <c r="H62" s="344"/>
      <c r="I62" s="344"/>
      <c r="K62" s="329">
        <f>COUNTA(E49:E60)</f>
        <v>4</v>
      </c>
    </row>
    <row r="63" spans="2:13" ht="21.6" customHeight="1">
      <c r="F63" s="344"/>
      <c r="G63" s="344"/>
      <c r="H63" s="344"/>
      <c r="I63" s="344"/>
    </row>
    <row r="64" spans="2:13" ht="21.6" customHeight="1">
      <c r="F64" s="344"/>
      <c r="G64" s="344"/>
      <c r="H64" s="344"/>
      <c r="I64" s="344"/>
    </row>
  </sheetData>
  <sheetProtection selectLockedCells="323"/>
  <dataConsolidate link="1"/>
  <mergeCells count="10">
    <mergeCell ref="K1:K5"/>
    <mergeCell ref="B5:D5"/>
    <mergeCell ref="B19:C19"/>
    <mergeCell ref="K38:L38"/>
    <mergeCell ref="B11:C11"/>
    <mergeCell ref="I11:J11"/>
    <mergeCell ref="B27:C27"/>
    <mergeCell ref="B28:C28"/>
    <mergeCell ref="C9:E9"/>
    <mergeCell ref="K9:K10"/>
  </mergeCells>
  <phoneticPr fontId="24" type="noConversion"/>
  <printOptions horizontalCentered="1" verticalCentered="1"/>
  <pageMargins left="0.25" right="0.25" top="0.75" bottom="0.75" header="0.3" footer="0.3"/>
  <pageSetup orientation="portrait" fitToWidth="1" fitToHeight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N13"/>
  <sheetViews>
    <sheetView workbookViewId="0">
      <selection activeCell="C21" sqref="C21"/>
    </sheetView>
  </sheetViews>
  <sheetFormatPr defaultColWidth="8.5703125" defaultRowHeight="21.6" customHeight="1"/>
  <cols>
    <col min="1" max="1" width="3" style="215" customWidth="1"/>
    <col min="2" max="2" width="24.5703125" style="215" customWidth="1"/>
    <col min="3" max="3" width="21.5703125" style="215" customWidth="1"/>
    <col min="4" max="4" width="14.7109375" style="215" customWidth="1"/>
    <col min="5" max="5" width="16.28515625" style="215" customWidth="1"/>
    <col min="6" max="6" width="13.5703125" style="215" customWidth="1"/>
    <col min="7" max="7" width="9.5703125" style="215" customWidth="1"/>
    <col min="8" max="8" width="3" style="215" customWidth="1"/>
    <col min="9" max="9" width="20.28515625" style="215" customWidth="1"/>
    <col min="10" max="10" width="13.42578125" style="215" customWidth="1"/>
    <col min="11" max="11" width="5.7109375" style="215" customWidth="1"/>
    <col min="12" max="12" width="22.140625" style="215" customWidth="1"/>
    <col min="13" max="13" width="3.5703125" style="215" customWidth="1"/>
    <col min="14" max="14" width="15.7109375" style="215" customWidth="1"/>
    <col min="15" max="15" width="8.7109375" style="215" bestFit="1" customWidth="1"/>
    <col min="16" max="16" width="1.7109375" style="215" customWidth="1"/>
    <col min="17" max="17" width="8.7109375" style="215" bestFit="1" customWidth="1"/>
    <col min="18" max="16384" width="8.5703125" style="215"/>
  </cols>
  <sheetData>
    <row r="2" spans="1:14" ht="21.6" customHeight="1">
      <c r="A2" s="9"/>
      <c r="B2" s="9"/>
      <c r="C2" s="304" t="s">
        <v>99</v>
      </c>
      <c r="D2" s="304"/>
      <c r="E2" s="9"/>
      <c r="F2" s="9"/>
      <c r="G2" s="9"/>
      <c r="H2" s="9"/>
      <c r="I2" s="9"/>
      <c r="J2" s="9"/>
      <c r="K2" s="305"/>
      <c r="L2" s="305"/>
      <c r="M2" s="9"/>
      <c r="N2" s="9"/>
    </row>
    <row r="4" spans="1:14" ht="6.6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29.45" customHeight="1">
      <c r="A5" s="11" t="s">
        <v>0</v>
      </c>
      <c r="B5" s="9"/>
      <c r="C5" s="9"/>
      <c r="D5" s="267" t="s">
        <v>100</v>
      </c>
      <c r="E5" s="268" t="s">
        <v>101</v>
      </c>
      <c r="F5" s="269" t="s">
        <v>2</v>
      </c>
      <c r="G5" s="216" t="s">
        <v>102</v>
      </c>
      <c r="H5" s="9"/>
      <c r="I5" s="9"/>
      <c r="J5" s="13"/>
      <c r="K5" s="270"/>
      <c r="L5" s="271"/>
      <c r="M5" s="9"/>
      <c r="N5" s="9"/>
    </row>
    <row r="6" spans="1:14" ht="21.6" customHeight="1">
      <c r="A6" s="9"/>
      <c r="B6" s="272" t="s">
        <v>103</v>
      </c>
      <c r="C6" s="273">
        <f>D6+E6</f>
        <v>265</v>
      </c>
      <c r="D6" s="274">
        <f>F6-G6</f>
        <v>265</v>
      </c>
      <c r="E6" s="275"/>
      <c r="F6" s="276">
        <v>265</v>
      </c>
      <c r="G6" s="277"/>
      <c r="H6" s="9"/>
      <c r="I6" s="9"/>
      <c r="J6" s="13"/>
      <c r="K6" s="270"/>
      <c r="L6" s="278"/>
      <c r="M6" s="9"/>
      <c r="N6" s="9"/>
    </row>
    <row r="7" spans="1:14" ht="21.6" customHeight="1">
      <c r="A7" s="9"/>
      <c r="B7" s="279" t="s">
        <v>8</v>
      </c>
      <c r="C7" s="273">
        <f>D7+E7</f>
        <v>83</v>
      </c>
      <c r="D7" s="274">
        <f>F7-G7</f>
        <v>83</v>
      </c>
      <c r="E7" s="275"/>
      <c r="F7" s="280">
        <v>83</v>
      </c>
      <c r="G7" s="281"/>
      <c r="H7" s="9"/>
      <c r="I7" s="9"/>
      <c r="J7" s="9"/>
      <c r="K7" s="9"/>
      <c r="L7" s="9"/>
      <c r="M7" s="9"/>
      <c r="N7" s="9"/>
    </row>
    <row r="8" spans="1:14" ht="21.6" customHeight="1">
      <c r="A8" s="9"/>
      <c r="B8" s="9"/>
      <c r="C8" s="9"/>
      <c r="D8" s="9"/>
      <c r="E8" s="9"/>
      <c r="F8" s="9" t="s">
        <v>104</v>
      </c>
      <c r="G8" s="9"/>
      <c r="H8" s="9"/>
      <c r="I8" s="9"/>
      <c r="J8" s="9"/>
      <c r="K8" s="9"/>
      <c r="L8" s="9"/>
      <c r="M8" s="9"/>
      <c r="N8" s="9"/>
    </row>
    <row r="9" spans="1:14" ht="21.6" customHeight="1">
      <c r="A9" s="3"/>
      <c r="B9" s="282"/>
      <c r="C9" s="283" t="s">
        <v>105</v>
      </c>
      <c r="D9" s="306" t="s">
        <v>106</v>
      </c>
      <c r="E9" s="307"/>
      <c r="F9" s="35"/>
      <c r="G9" s="9"/>
      <c r="H9" s="3"/>
      <c r="I9" s="3"/>
      <c r="J9" s="3"/>
      <c r="K9" s="3"/>
      <c r="L9" s="35"/>
      <c r="M9" s="3"/>
      <c r="N9" s="35"/>
    </row>
    <row r="10" spans="1:14" ht="21.6" customHeight="1">
      <c r="A10" s="11"/>
      <c r="B10" s="284" t="s">
        <v>107</v>
      </c>
      <c r="C10" s="285">
        <v>4</v>
      </c>
      <c r="D10" s="308">
        <f>IF(C10="","",($C$7/C10))</f>
        <v>20.75</v>
      </c>
      <c r="E10" s="309"/>
      <c r="F10" s="35"/>
      <c r="G10" s="9"/>
      <c r="H10" s="3"/>
      <c r="I10" s="3"/>
      <c r="J10" s="3"/>
      <c r="K10" s="3"/>
      <c r="L10" s="35"/>
      <c r="M10" s="3"/>
      <c r="N10" s="35"/>
    </row>
    <row r="11" spans="1:14" ht="21.6" customHeight="1">
      <c r="A11" s="11"/>
      <c r="B11" s="284" t="s">
        <v>108</v>
      </c>
      <c r="C11" s="285">
        <v>4</v>
      </c>
      <c r="D11" s="310">
        <f>IF(C11="","",($C$7/C11))</f>
        <v>20.75</v>
      </c>
      <c r="E11" s="311"/>
      <c r="F11" s="157"/>
      <c r="G11" s="9"/>
      <c r="H11" s="161"/>
      <c r="I11" s="11"/>
      <c r="J11" s="9"/>
      <c r="K11" s="9"/>
      <c r="L11" s="286"/>
      <c r="M11" s="9"/>
      <c r="N11" s="43"/>
    </row>
    <row r="12" spans="1:14" ht="22.9" customHeight="1">
      <c r="A12" s="11"/>
      <c r="B12" s="301" t="s">
        <v>109</v>
      </c>
      <c r="C12" s="303">
        <v>18</v>
      </c>
      <c r="D12" s="155" t="s">
        <v>110</v>
      </c>
      <c r="E12" s="287" t="s">
        <v>111</v>
      </c>
      <c r="F12" s="157"/>
      <c r="G12" s="9"/>
      <c r="H12" s="161"/>
      <c r="I12" s="9"/>
      <c r="J12" s="9"/>
      <c r="K12" s="9"/>
      <c r="L12" s="288"/>
      <c r="M12" s="9"/>
      <c r="N12" s="43"/>
    </row>
    <row r="13" spans="1:14" ht="20.45" customHeight="1">
      <c r="A13" s="9"/>
      <c r="B13" s="302"/>
      <c r="C13" s="303"/>
      <c r="D13" s="289">
        <f>IF(C12="","",($C$6/C12))</f>
        <v>14.722222222222221</v>
      </c>
      <c r="E13" s="290">
        <f>IF(C12="","",($C$7/C12))</f>
        <v>4.6111111111111107</v>
      </c>
      <c r="F13" s="9"/>
      <c r="G13" s="9"/>
      <c r="H13" s="9"/>
      <c r="I13" s="9"/>
      <c r="J13" s="9"/>
      <c r="K13" s="9"/>
      <c r="L13" s="9"/>
      <c r="M13" s="9"/>
      <c r="N13" s="9"/>
    </row>
  </sheetData>
  <mergeCells count="7">
    <mergeCell ref="B12:B13"/>
    <mergeCell ref="C12:C13"/>
    <mergeCell ref="C2:D2"/>
    <mergeCell ref="K2:L2"/>
    <mergeCell ref="D9:E9"/>
    <mergeCell ref="D10:E10"/>
    <mergeCell ref="D11:E1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EC77-29E5-439A-85D5-D058CC333E3C}">
  <sheetPr codeName="Sheet3"/>
  <dimension ref="A2:N61"/>
  <sheetViews>
    <sheetView workbookViewId="0">
      <selection activeCell="C14" sqref="C14"/>
    </sheetView>
  </sheetViews>
  <sheetFormatPr defaultColWidth="8.5703125" defaultRowHeight="21.6" customHeight="1"/>
  <cols>
    <col min="1" max="1" width="3" style="217" customWidth="1"/>
    <col min="2" max="2" width="24.5703125" style="217" customWidth="1"/>
    <col min="3" max="3" width="21.5703125" style="217" customWidth="1"/>
    <col min="4" max="4" width="14.7109375" style="217" customWidth="1"/>
    <col min="5" max="5" width="16.28515625" style="217" customWidth="1"/>
    <col min="6" max="6" width="13.5703125" style="217" customWidth="1"/>
    <col min="7" max="7" width="9.5703125" style="217" customWidth="1"/>
    <col min="8" max="8" width="3" style="217" customWidth="1"/>
    <col min="9" max="9" width="20.28515625" style="217" customWidth="1"/>
    <col min="10" max="10" width="13.42578125" style="217" customWidth="1"/>
    <col min="11" max="11" width="5.7109375" style="217" customWidth="1"/>
    <col min="12" max="12" width="22.140625" style="217" customWidth="1"/>
    <col min="13" max="13" width="3.5703125" style="217" customWidth="1"/>
    <col min="14" max="14" width="15.7109375" style="217" customWidth="1"/>
    <col min="15" max="15" width="8.7109375" style="217" bestFit="1" customWidth="1"/>
    <col min="16" max="16" width="1.7109375" style="217" customWidth="1"/>
    <col min="17" max="17" width="8.7109375" style="217" bestFit="1" customWidth="1"/>
    <col min="18" max="16384" width="8.5703125" style="217"/>
  </cols>
  <sheetData>
    <row r="2" spans="1:14" ht="21.6" customHeight="1">
      <c r="C2" s="317" t="s">
        <v>112</v>
      </c>
      <c r="D2" s="317"/>
      <c r="K2" s="316"/>
      <c r="L2" s="316"/>
    </row>
    <row r="4" spans="1:14" ht="6.6" customHeight="1"/>
    <row r="5" spans="1:14" ht="21.6" customHeight="1">
      <c r="A5" s="218" t="s">
        <v>0</v>
      </c>
      <c r="D5" s="219" t="s">
        <v>100</v>
      </c>
      <c r="E5" s="220" t="s">
        <v>101</v>
      </c>
      <c r="F5" s="221" t="s">
        <v>2</v>
      </c>
      <c r="G5" s="222" t="s">
        <v>102</v>
      </c>
      <c r="J5" s="223"/>
      <c r="K5" s="224"/>
      <c r="L5" s="225"/>
    </row>
    <row r="6" spans="1:14" ht="21.6" customHeight="1">
      <c r="B6" s="226" t="s">
        <v>103</v>
      </c>
      <c r="C6" s="227">
        <f>D6+E6</f>
        <v>243</v>
      </c>
      <c r="D6" s="228">
        <f>F6-G6</f>
        <v>243</v>
      </c>
      <c r="E6" s="229"/>
      <c r="F6" s="230">
        <v>243</v>
      </c>
      <c r="G6" s="231"/>
      <c r="J6" s="223"/>
      <c r="K6" s="224"/>
      <c r="L6" s="232"/>
    </row>
    <row r="7" spans="1:14" ht="21.6" customHeight="1">
      <c r="B7" s="233" t="s">
        <v>8</v>
      </c>
      <c r="C7" s="234">
        <f>D7+E7</f>
        <v>151</v>
      </c>
      <c r="D7" s="228">
        <f>F7-G7</f>
        <v>151</v>
      </c>
      <c r="E7" s="229"/>
      <c r="F7" s="235">
        <v>151</v>
      </c>
      <c r="G7" s="236"/>
    </row>
    <row r="9" spans="1:14" ht="21.6" customHeight="1">
      <c r="A9" s="237"/>
      <c r="B9" s="238"/>
      <c r="C9" s="239" t="s">
        <v>105</v>
      </c>
      <c r="D9" s="318" t="s">
        <v>106</v>
      </c>
      <c r="E9" s="319"/>
      <c r="F9" s="240"/>
      <c r="H9" s="237"/>
      <c r="I9" s="237"/>
      <c r="J9" s="237"/>
      <c r="K9" s="237"/>
      <c r="L9" s="240"/>
      <c r="M9" s="237"/>
      <c r="N9" s="240"/>
    </row>
    <row r="10" spans="1:14" ht="21.6" customHeight="1">
      <c r="A10" s="218"/>
      <c r="B10" s="241" t="s">
        <v>107</v>
      </c>
      <c r="C10" s="242">
        <v>4</v>
      </c>
      <c r="D10" s="320">
        <f>IF(C10="","",($C$7/C10))</f>
        <v>37.75</v>
      </c>
      <c r="E10" s="321"/>
      <c r="F10" s="240"/>
      <c r="H10" s="237"/>
      <c r="I10" s="237"/>
      <c r="J10" s="237"/>
      <c r="K10" s="237"/>
      <c r="L10" s="240"/>
      <c r="M10" s="237"/>
      <c r="N10" s="240"/>
    </row>
    <row r="11" spans="1:14" ht="21.6" customHeight="1">
      <c r="A11" s="218"/>
      <c r="B11" s="241" t="s">
        <v>108</v>
      </c>
      <c r="C11" s="242">
        <v>4</v>
      </c>
      <c r="D11" s="320">
        <f>IF(C11="","",($C$7/C11))</f>
        <v>37.75</v>
      </c>
      <c r="E11" s="321"/>
      <c r="F11" s="243"/>
      <c r="H11" s="244"/>
      <c r="I11" s="218"/>
      <c r="L11" s="245"/>
      <c r="N11" s="246"/>
    </row>
    <row r="12" spans="1:14" ht="21.6" customHeight="1">
      <c r="A12" s="218"/>
      <c r="B12" s="312" t="s">
        <v>109</v>
      </c>
      <c r="C12" s="314">
        <v>16</v>
      </c>
      <c r="D12" s="247" t="s">
        <v>110</v>
      </c>
      <c r="E12" s="248" t="s">
        <v>111</v>
      </c>
      <c r="F12" s="243"/>
      <c r="H12" s="244"/>
      <c r="L12" s="249"/>
      <c r="N12" s="246"/>
    </row>
    <row r="13" spans="1:14" ht="21.6" customHeight="1">
      <c r="B13" s="313"/>
      <c r="C13" s="315"/>
      <c r="D13" s="250">
        <f>IF(C12="","",($C$6/C12))</f>
        <v>15.1875</v>
      </c>
      <c r="E13" s="250">
        <f>IF(C12="","",($C$7/C12))</f>
        <v>9.4375</v>
      </c>
    </row>
    <row r="47" ht="21"/>
    <row r="61" spans="5:5" ht="21.6" customHeight="1">
      <c r="E61" s="251"/>
    </row>
  </sheetData>
  <mergeCells count="7">
    <mergeCell ref="B12:B13"/>
    <mergeCell ref="C12:C13"/>
    <mergeCell ref="K2:L2"/>
    <mergeCell ref="C2:D2"/>
    <mergeCell ref="D9:E9"/>
    <mergeCell ref="D10:E10"/>
    <mergeCell ref="D11:E11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X64"/>
  <sheetViews>
    <sheetView view="pageBreakPreview" zoomScale="96" zoomScaleNormal="100" zoomScaleSheetLayoutView="96" workbookViewId="0">
      <selection activeCell="F9" sqref="F9"/>
    </sheetView>
  </sheetViews>
  <sheetFormatPr defaultColWidth="8.5703125" defaultRowHeight="21.6" customHeight="1"/>
  <cols>
    <col min="1" max="1" width="3" style="9" customWidth="1"/>
    <col min="2" max="2" width="24.5703125" style="9" customWidth="1"/>
    <col min="3" max="3" width="21.5703125" style="9" customWidth="1"/>
    <col min="4" max="4" width="11" style="9" customWidth="1"/>
    <col min="5" max="5" width="16.28515625" style="9" customWidth="1"/>
    <col min="6" max="6" width="13.5703125" style="9" customWidth="1"/>
    <col min="7" max="7" width="9.5703125" style="9" customWidth="1"/>
    <col min="8" max="8" width="3" style="9" customWidth="1"/>
    <col min="9" max="9" width="20.42578125" style="9" customWidth="1"/>
    <col min="10" max="10" width="13.42578125" style="9" customWidth="1"/>
    <col min="11" max="11" width="5.7109375" style="9" customWidth="1"/>
    <col min="12" max="12" width="24.85546875" style="9" customWidth="1"/>
    <col min="13" max="13" width="3.5703125" style="9" customWidth="1"/>
    <col min="14" max="14" width="15.5703125" style="9" customWidth="1"/>
    <col min="15" max="15" width="8.5703125" style="9"/>
    <col min="16" max="16" width="1.5703125" style="9" customWidth="1"/>
    <col min="17" max="16384" width="8.5703125" style="9"/>
  </cols>
  <sheetData>
    <row r="2" spans="1:14" ht="21.6" customHeight="1">
      <c r="B2" s="10"/>
      <c r="C2" s="10"/>
      <c r="D2" s="10"/>
      <c r="E2" s="10"/>
      <c r="F2" s="10"/>
      <c r="G2" s="10"/>
      <c r="K2" s="305"/>
      <c r="L2" s="305"/>
    </row>
    <row r="3" spans="1:14" ht="21.6" customHeight="1">
      <c r="B3" s="10"/>
      <c r="C3" s="10"/>
      <c r="D3" s="10"/>
      <c r="E3" s="10"/>
      <c r="F3" s="10"/>
      <c r="G3" s="10"/>
      <c r="K3" s="10"/>
      <c r="L3" s="10"/>
    </row>
    <row r="4" spans="1:14" ht="6.6" customHeight="1">
      <c r="B4" s="10"/>
      <c r="C4" s="10"/>
      <c r="D4" s="10"/>
      <c r="E4" s="10"/>
      <c r="F4" s="10"/>
      <c r="G4" s="10"/>
      <c r="K4" s="10"/>
      <c r="L4" s="10"/>
    </row>
    <row r="5" spans="1:14" ht="37.15" customHeight="1">
      <c r="A5" s="11" t="s">
        <v>0</v>
      </c>
      <c r="B5" s="10"/>
      <c r="C5" s="10"/>
      <c r="D5" s="112" t="s">
        <v>100</v>
      </c>
      <c r="E5" s="12" t="s">
        <v>113</v>
      </c>
      <c r="F5" s="113" t="s">
        <v>2</v>
      </c>
      <c r="G5" s="114" t="s">
        <v>102</v>
      </c>
      <c r="J5" s="13" t="s">
        <v>5</v>
      </c>
      <c r="K5" s="14" t="s">
        <v>29</v>
      </c>
      <c r="L5" s="15" t="s">
        <v>114</v>
      </c>
    </row>
    <row r="6" spans="1:14" ht="21.6" customHeight="1">
      <c r="B6" s="16" t="s">
        <v>103</v>
      </c>
      <c r="C6" s="17">
        <f>(E6+F6)-G6</f>
        <v>151</v>
      </c>
      <c r="D6" s="18">
        <f>F6-G6</f>
        <v>121</v>
      </c>
      <c r="E6" s="19">
        <v>30</v>
      </c>
      <c r="F6" s="20">
        <v>121</v>
      </c>
      <c r="G6" s="21"/>
      <c r="I6" s="9" t="s">
        <v>29</v>
      </c>
      <c r="J6" s="13" t="s">
        <v>9</v>
      </c>
      <c r="K6" s="22" t="s">
        <v>29</v>
      </c>
      <c r="L6" s="23" t="s">
        <v>115</v>
      </c>
    </row>
    <row r="7" spans="1:14" ht="21.6" customHeight="1">
      <c r="B7" s="24" t="s">
        <v>8</v>
      </c>
      <c r="C7" s="17">
        <f>(E7+F7)-G7</f>
        <v>89</v>
      </c>
      <c r="D7" s="18">
        <f>F7-G7</f>
        <v>59</v>
      </c>
      <c r="E7" s="19">
        <v>30</v>
      </c>
      <c r="F7" s="20">
        <v>59</v>
      </c>
      <c r="G7" s="21"/>
      <c r="K7" s="10"/>
      <c r="L7" s="10"/>
    </row>
    <row r="8" spans="1:14" ht="21.6" customHeight="1">
      <c r="A8" s="3" t="s">
        <v>12</v>
      </c>
      <c r="B8" s="10"/>
      <c r="C8" s="10"/>
      <c r="D8" s="10"/>
      <c r="E8" s="10"/>
      <c r="F8" s="10"/>
      <c r="G8" s="10"/>
      <c r="H8" s="3" t="s">
        <v>13</v>
      </c>
      <c r="I8" s="3"/>
      <c r="K8" s="10"/>
      <c r="L8" s="10"/>
    </row>
    <row r="9" spans="1:14" ht="21.6" customHeight="1">
      <c r="A9" s="3" t="s">
        <v>14</v>
      </c>
      <c r="B9" s="3"/>
      <c r="C9" s="25" t="s">
        <v>116</v>
      </c>
      <c r="D9" s="25"/>
      <c r="E9" s="26"/>
      <c r="F9" s="27"/>
      <c r="G9" s="28"/>
      <c r="H9" s="3" t="s">
        <v>14</v>
      </c>
      <c r="I9" s="3"/>
      <c r="J9" s="28"/>
      <c r="K9" s="25"/>
      <c r="L9" s="29" t="s">
        <v>117</v>
      </c>
      <c r="M9" s="3"/>
      <c r="N9" s="30"/>
    </row>
    <row r="11" spans="1:14" ht="21.6" customHeight="1">
      <c r="A11" s="28" t="s">
        <v>17</v>
      </c>
      <c r="B11" s="31"/>
      <c r="C11" s="32" t="s">
        <v>118</v>
      </c>
      <c r="D11" s="31"/>
      <c r="E11" s="33" t="s">
        <v>18</v>
      </c>
      <c r="F11" s="34"/>
      <c r="H11" s="28" t="s">
        <v>19</v>
      </c>
      <c r="I11" s="28"/>
      <c r="J11" s="28"/>
      <c r="K11" s="3"/>
      <c r="L11" s="34" t="s">
        <v>18</v>
      </c>
      <c r="M11" s="3"/>
      <c r="N11" s="35"/>
    </row>
    <row r="12" spans="1:14" ht="21.6" customHeight="1">
      <c r="A12" s="36">
        <v>1</v>
      </c>
      <c r="B12" s="120" t="s">
        <v>119</v>
      </c>
      <c r="C12" s="37"/>
      <c r="D12" s="3"/>
      <c r="E12" s="38"/>
      <c r="F12" s="34"/>
      <c r="H12" s="28">
        <v>1</v>
      </c>
      <c r="I12" s="137" t="s">
        <v>120</v>
      </c>
      <c r="J12" s="28" t="s">
        <v>121</v>
      </c>
      <c r="K12" s="3"/>
      <c r="L12" s="34"/>
      <c r="M12" s="3"/>
      <c r="N12" s="35"/>
    </row>
    <row r="13" spans="1:14" ht="21.6" customHeight="1">
      <c r="A13" s="36">
        <v>2</v>
      </c>
      <c r="B13" s="120" t="s">
        <v>122</v>
      </c>
      <c r="C13" s="37"/>
      <c r="D13" s="11"/>
      <c r="E13" s="38"/>
      <c r="F13" s="39"/>
      <c r="H13" s="40" t="s">
        <v>33</v>
      </c>
      <c r="I13" s="138"/>
      <c r="J13" s="41"/>
      <c r="L13" s="42"/>
      <c r="N13" s="43"/>
    </row>
    <row r="14" spans="1:14" ht="21.6" customHeight="1">
      <c r="A14" s="36">
        <v>3</v>
      </c>
      <c r="B14" s="139" t="s">
        <v>123</v>
      </c>
      <c r="C14" s="37"/>
      <c r="D14" s="11"/>
      <c r="E14" s="38"/>
      <c r="F14" s="39"/>
      <c r="H14" s="44" t="s">
        <v>124</v>
      </c>
      <c r="I14" s="41" t="s">
        <v>29</v>
      </c>
      <c r="J14" s="41"/>
      <c r="L14" s="45" t="s">
        <v>29</v>
      </c>
      <c r="N14" s="43"/>
    </row>
    <row r="15" spans="1:14" ht="21.6" customHeight="1">
      <c r="A15" s="36">
        <v>4</v>
      </c>
      <c r="B15" s="115"/>
      <c r="C15" s="123"/>
      <c r="D15" s="47"/>
      <c r="E15" s="38"/>
      <c r="F15" s="39"/>
      <c r="L15" s="43"/>
      <c r="N15" s="43"/>
    </row>
    <row r="16" spans="1:14" ht="21.6" customHeight="1">
      <c r="A16" s="36">
        <v>5</v>
      </c>
      <c r="B16" s="115"/>
      <c r="C16" s="57"/>
      <c r="D16" s="47"/>
      <c r="E16" s="38"/>
      <c r="F16" s="39"/>
      <c r="I16" s="11"/>
      <c r="L16" s="43"/>
      <c r="N16" s="43"/>
    </row>
    <row r="17" spans="1:24" ht="21.6" customHeight="1">
      <c r="A17" s="28">
        <v>6</v>
      </c>
      <c r="B17" s="115"/>
      <c r="C17" s="46"/>
      <c r="D17" s="47"/>
      <c r="E17" s="38"/>
      <c r="F17" s="39"/>
      <c r="I17" s="11"/>
      <c r="L17" s="43"/>
      <c r="N17" s="43"/>
    </row>
    <row r="18" spans="1:24" ht="21.6" customHeight="1">
      <c r="A18" s="48"/>
      <c r="E18" s="43"/>
      <c r="F18" s="43"/>
      <c r="L18" s="43"/>
      <c r="N18" s="43"/>
    </row>
    <row r="19" spans="1:24" ht="21.6" customHeight="1">
      <c r="A19" s="28" t="s">
        <v>27</v>
      </c>
      <c r="B19" s="49"/>
      <c r="C19" s="50" t="s">
        <v>118</v>
      </c>
      <c r="D19" s="31"/>
      <c r="E19" s="33" t="s">
        <v>18</v>
      </c>
      <c r="F19" s="51"/>
      <c r="H19" s="28" t="s">
        <v>23</v>
      </c>
      <c r="I19" s="28"/>
      <c r="J19" s="28"/>
      <c r="K19" s="3"/>
      <c r="L19" s="34" t="s">
        <v>18</v>
      </c>
      <c r="M19" s="3"/>
      <c r="N19" s="35" t="s">
        <v>29</v>
      </c>
    </row>
    <row r="20" spans="1:24" ht="21.6" customHeight="1">
      <c r="A20" s="52" t="s">
        <v>30</v>
      </c>
      <c r="B20" s="140" t="s">
        <v>125</v>
      </c>
      <c r="C20" s="37"/>
      <c r="D20" s="3"/>
      <c r="E20" s="38"/>
      <c r="F20" s="39"/>
      <c r="H20" s="53" t="s">
        <v>30</v>
      </c>
      <c r="I20" s="120" t="s">
        <v>126</v>
      </c>
      <c r="J20" s="54"/>
      <c r="L20" s="55"/>
      <c r="M20" s="3"/>
      <c r="N20" s="35"/>
    </row>
    <row r="21" spans="1:24" ht="21.6" customHeight="1">
      <c r="A21" s="56" t="s">
        <v>33</v>
      </c>
      <c r="B21" s="140" t="s">
        <v>127</v>
      </c>
      <c r="C21" s="57"/>
      <c r="D21" s="11"/>
      <c r="E21" s="38"/>
      <c r="F21" s="39"/>
      <c r="G21" s="9" t="s">
        <v>29</v>
      </c>
      <c r="H21" s="58" t="s">
        <v>128</v>
      </c>
      <c r="I21" s="134"/>
      <c r="J21" s="54"/>
      <c r="L21" s="59"/>
      <c r="M21" s="3"/>
      <c r="N21" s="35"/>
    </row>
    <row r="22" spans="1:24" ht="21.6" customHeight="1">
      <c r="A22" s="56" t="s">
        <v>36</v>
      </c>
      <c r="B22" s="154" t="s">
        <v>129</v>
      </c>
      <c r="C22" s="57"/>
      <c r="D22" s="47"/>
      <c r="E22" s="38"/>
      <c r="F22" s="39"/>
      <c r="H22" s="322" t="s">
        <v>25</v>
      </c>
      <c r="I22" s="322"/>
      <c r="J22" s="61" t="s">
        <v>29</v>
      </c>
      <c r="L22" s="62"/>
      <c r="M22" s="3"/>
      <c r="N22" s="35"/>
    </row>
    <row r="23" spans="1:24" ht="21.6" customHeight="1">
      <c r="A23" s="56" t="s">
        <v>37</v>
      </c>
      <c r="B23" s="143"/>
      <c r="C23" s="57"/>
      <c r="D23" s="47"/>
      <c r="E23" s="38"/>
      <c r="F23" s="39"/>
      <c r="H23" s="60"/>
      <c r="I23" s="120" t="s">
        <v>130</v>
      </c>
      <c r="J23" s="61"/>
      <c r="L23" s="63"/>
      <c r="M23" s="3"/>
      <c r="N23" s="35"/>
      <c r="X23" s="9" t="s">
        <v>29</v>
      </c>
    </row>
    <row r="24" spans="1:24" ht="21.6" customHeight="1">
      <c r="A24" s="56" t="s">
        <v>39</v>
      </c>
      <c r="B24" s="144"/>
      <c r="C24" s="57"/>
      <c r="D24" s="47"/>
      <c r="E24" s="38"/>
      <c r="F24" s="39"/>
      <c r="H24" s="58" t="s">
        <v>131</v>
      </c>
      <c r="I24" s="64"/>
      <c r="J24" s="61"/>
      <c r="L24" s="65"/>
    </row>
    <row r="25" spans="1:24" ht="21.6" customHeight="1">
      <c r="A25" s="56" t="s">
        <v>41</v>
      </c>
      <c r="B25" s="116"/>
      <c r="C25" s="57"/>
      <c r="D25" s="47"/>
      <c r="F25" s="39"/>
      <c r="H25" s="3" t="s">
        <v>132</v>
      </c>
      <c r="I25" s="66"/>
      <c r="J25" s="66"/>
      <c r="K25" s="66"/>
      <c r="L25" s="67"/>
    </row>
    <row r="26" spans="1:24" ht="21.6" customHeight="1">
      <c r="A26" s="58"/>
      <c r="B26" s="116"/>
      <c r="C26" s="57"/>
      <c r="D26" s="47"/>
      <c r="E26" s="68"/>
      <c r="F26" s="39"/>
      <c r="H26" s="1">
        <v>1</v>
      </c>
      <c r="I26" s="120" t="s">
        <v>133</v>
      </c>
      <c r="J26" s="69"/>
      <c r="K26" s="70"/>
      <c r="L26" s="43"/>
    </row>
    <row r="27" spans="1:24" ht="21.6" customHeight="1">
      <c r="A27" s="58"/>
      <c r="B27" s="71"/>
      <c r="C27" s="57"/>
      <c r="D27" s="3"/>
      <c r="E27" s="72"/>
      <c r="F27" s="73"/>
      <c r="H27" s="1">
        <v>2</v>
      </c>
      <c r="I27" s="115"/>
      <c r="J27" s="74"/>
      <c r="K27" s="75"/>
    </row>
    <row r="28" spans="1:24" ht="21.6" customHeight="1">
      <c r="A28" s="60"/>
      <c r="B28" s="11"/>
      <c r="C28" s="3"/>
      <c r="D28" s="3"/>
      <c r="E28" s="76"/>
      <c r="F28" s="77"/>
      <c r="H28" s="2" t="s">
        <v>134</v>
      </c>
      <c r="I28" s="75"/>
      <c r="J28" s="75"/>
      <c r="K28" s="75"/>
    </row>
    <row r="29" spans="1:24" ht="21.6" customHeight="1">
      <c r="A29" s="60"/>
      <c r="B29" s="11" t="s">
        <v>43</v>
      </c>
      <c r="C29" s="78">
        <f>C7/(COUNTA(B20:B25))</f>
        <v>29.666666666666668</v>
      </c>
      <c r="D29" s="3"/>
      <c r="E29" s="78"/>
      <c r="F29" s="77"/>
      <c r="H29" s="1">
        <v>1</v>
      </c>
      <c r="I29" s="120" t="s">
        <v>135</v>
      </c>
      <c r="J29" s="74"/>
      <c r="K29" s="75"/>
    </row>
    <row r="30" spans="1:24" ht="21.6" customHeight="1">
      <c r="A30" s="60"/>
      <c r="B30" s="79"/>
      <c r="C30" s="3"/>
      <c r="D30" s="3"/>
      <c r="E30" s="76"/>
      <c r="F30" s="77"/>
      <c r="H30" s="1">
        <v>2</v>
      </c>
    </row>
    <row r="31" spans="1:24" ht="21.6" customHeight="1">
      <c r="A31" s="60"/>
      <c r="B31" s="3" t="s">
        <v>44</v>
      </c>
      <c r="C31" s="78">
        <f>C7/(COUNTA(B12:B17))</f>
        <v>29.666666666666668</v>
      </c>
      <c r="D31" s="3"/>
      <c r="E31" s="76"/>
      <c r="F31" s="77"/>
    </row>
    <row r="32" spans="1:24" ht="21.6" customHeight="1">
      <c r="A32" s="60"/>
      <c r="B32" s="11"/>
      <c r="C32" s="80"/>
      <c r="D32" s="3"/>
      <c r="E32" s="3"/>
      <c r="F32" s="77"/>
    </row>
    <row r="33" spans="2:24" ht="21.6" customHeight="1" thickBot="1">
      <c r="B33" s="9" t="s">
        <v>29</v>
      </c>
    </row>
    <row r="34" spans="2:24" ht="21.6" customHeight="1" thickBot="1">
      <c r="C34" s="81" t="s">
        <v>45</v>
      </c>
      <c r="D34" s="82" t="s">
        <v>46</v>
      </c>
      <c r="E34" s="146" t="s">
        <v>47</v>
      </c>
      <c r="F34" s="81" t="s">
        <v>45</v>
      </c>
      <c r="G34" s="83" t="s">
        <v>46</v>
      </c>
      <c r="H34" s="84" t="s">
        <v>47</v>
      </c>
      <c r="I34" s="119"/>
    </row>
    <row r="35" spans="2:24" ht="21.6" customHeight="1" thickBot="1">
      <c r="C35" s="85" t="s">
        <v>48</v>
      </c>
      <c r="D35" s="7">
        <f>IF(E35="","",COUNTA($E$35:E35))</f>
        <v>1</v>
      </c>
      <c r="E35" s="136" t="s">
        <v>68</v>
      </c>
      <c r="F35" s="86" t="s">
        <v>49</v>
      </c>
      <c r="G35" s="7">
        <f>IF(I35="","",(COUNTA($I$35:I35)+COUNTA($E$35:$E$45)))</f>
        <v>7</v>
      </c>
      <c r="H35" s="87"/>
      <c r="I35" s="8" t="s">
        <v>74</v>
      </c>
      <c r="L35" s="127" t="s">
        <v>50</v>
      </c>
      <c r="Q35" s="88"/>
      <c r="R35" s="88"/>
      <c r="S35" s="89"/>
      <c r="T35" s="88"/>
      <c r="U35" s="88"/>
      <c r="V35" s="88"/>
      <c r="W35" s="89"/>
      <c r="X35" s="88"/>
    </row>
    <row r="36" spans="2:24" ht="21.6" customHeight="1" thickBot="1">
      <c r="B36" s="90"/>
      <c r="C36" s="91" t="s">
        <v>51</v>
      </c>
      <c r="D36" s="7" t="str">
        <f>IF(E36="","",COUNTA($E$35:E36))</f>
        <v/>
      </c>
      <c r="E36" s="148"/>
      <c r="F36" s="92" t="s">
        <v>52</v>
      </c>
      <c r="G36" s="7" t="str">
        <f>IF(I36="","",(COUNTA($I$35:I36)+COUNTA($E$35:$E$45)))</f>
        <v/>
      </c>
      <c r="H36" s="93"/>
      <c r="I36" s="149"/>
      <c r="L36" s="94">
        <f>COUNTA(I35:I47,E35:E46)</f>
        <v>10</v>
      </c>
      <c r="Q36" s="88"/>
      <c r="S36" s="95"/>
      <c r="T36" s="88"/>
      <c r="U36" s="96"/>
      <c r="V36" s="96"/>
      <c r="W36" s="96"/>
      <c r="X36" s="97"/>
    </row>
    <row r="37" spans="2:24" ht="21.6" customHeight="1" thickBot="1">
      <c r="B37" s="90"/>
      <c r="C37" s="85" t="s">
        <v>53</v>
      </c>
      <c r="D37" s="7" t="str">
        <f>IF(E37="","",COUNTA($E$35:E37))</f>
        <v/>
      </c>
      <c r="E37" s="149"/>
      <c r="F37" s="86" t="s">
        <v>55</v>
      </c>
      <c r="G37" s="7">
        <f>IF(I37="","",(COUNTA($I$35:I37)+COUNTA($E$35:$E$45)))</f>
        <v>8</v>
      </c>
      <c r="H37" s="93"/>
      <c r="I37" s="121" t="s">
        <v>136</v>
      </c>
      <c r="L37" s="130" t="s">
        <v>57</v>
      </c>
      <c r="Q37" s="88"/>
      <c r="R37" s="88"/>
      <c r="S37" s="95"/>
      <c r="T37" s="88"/>
      <c r="U37" s="96"/>
      <c r="V37" s="96"/>
      <c r="W37" s="96"/>
      <c r="X37" s="97"/>
    </row>
    <row r="38" spans="2:24" ht="21.6" customHeight="1" thickBot="1">
      <c r="B38" s="98"/>
      <c r="C38" s="91" t="s">
        <v>58</v>
      </c>
      <c r="D38" s="7" t="str">
        <f>IF(E38="","",COUNTA($E$35:E38))</f>
        <v/>
      </c>
      <c r="E38" s="149"/>
      <c r="F38" s="92" t="s">
        <v>59</v>
      </c>
      <c r="G38" s="7">
        <f>IF(I38="","",(COUNTA($I$35:I38)+COUNTA($E$35:$E$45)))</f>
        <v>9</v>
      </c>
      <c r="H38" s="93"/>
      <c r="I38" s="8" t="s">
        <v>60</v>
      </c>
      <c r="K38" s="124"/>
      <c r="L38" s="294">
        <f>C6/L36</f>
        <v>15.1</v>
      </c>
      <c r="M38" s="294"/>
      <c r="Q38" s="88"/>
      <c r="R38" s="88"/>
      <c r="S38" s="95"/>
      <c r="T38" s="88"/>
      <c r="U38" s="96"/>
      <c r="V38" s="96"/>
      <c r="W38" s="96"/>
      <c r="X38" s="97"/>
    </row>
    <row r="39" spans="2:24" ht="21.6" customHeight="1" thickBot="1">
      <c r="C39" s="85" t="s">
        <v>61</v>
      </c>
      <c r="D39" s="7" t="str">
        <f>IF(E39="","",COUNTA($E$35:E39))</f>
        <v/>
      </c>
      <c r="E39" s="149"/>
      <c r="F39" s="86" t="s">
        <v>62</v>
      </c>
      <c r="G39" s="7">
        <f>IF(I39="","",(COUNTA($I$35:I39)+COUNTA($E$35:$E$45)))</f>
        <v>10</v>
      </c>
      <c r="H39" s="93"/>
      <c r="I39" s="121" t="s">
        <v>137</v>
      </c>
      <c r="K39" s="122"/>
      <c r="L39" s="130" t="s">
        <v>63</v>
      </c>
      <c r="Q39" s="88"/>
      <c r="R39" s="88"/>
      <c r="S39" s="95"/>
      <c r="T39" s="88"/>
      <c r="U39" s="96"/>
      <c r="V39" s="96"/>
      <c r="W39" s="96"/>
      <c r="X39" s="97"/>
    </row>
    <row r="40" spans="2:24" ht="21.6" customHeight="1">
      <c r="C40" s="91" t="s">
        <v>64</v>
      </c>
      <c r="D40" s="7">
        <f>IF(E40="","",COUNTA($E$35:E40))</f>
        <v>2</v>
      </c>
      <c r="E40" s="8" t="s">
        <v>138</v>
      </c>
      <c r="F40" s="92" t="s">
        <v>66</v>
      </c>
      <c r="G40" s="7" t="str">
        <f>IF(I40="","",(COUNTA($I$35:I40)+COUNTA($E$35:$E$45)))</f>
        <v/>
      </c>
      <c r="H40" s="93"/>
      <c r="I40" s="150"/>
      <c r="L40" s="125">
        <f>C7/L36</f>
        <v>8.9</v>
      </c>
      <c r="Q40" s="88"/>
      <c r="R40" s="88"/>
      <c r="S40" s="95"/>
      <c r="T40" s="88"/>
      <c r="U40" s="96"/>
      <c r="V40" s="96"/>
      <c r="W40" s="96"/>
      <c r="X40" s="97"/>
    </row>
    <row r="41" spans="2:24" ht="21.6" customHeight="1">
      <c r="C41" s="85" t="s">
        <v>67</v>
      </c>
      <c r="D41" s="7">
        <f>IF(E41="","",COUNTA($E$35:E41))</f>
        <v>3</v>
      </c>
      <c r="E41" s="8" t="s">
        <v>139</v>
      </c>
      <c r="F41" s="86" t="s">
        <v>69</v>
      </c>
      <c r="G41" s="7" t="str">
        <f>IF(I41="","",(COUNTA($I$35:I41)+COUNTA($E$35:$E$45)))</f>
        <v/>
      </c>
      <c r="H41" s="93"/>
      <c r="I41" s="151"/>
      <c r="Q41" s="88"/>
      <c r="S41" s="97"/>
      <c r="T41" s="96"/>
      <c r="U41" s="96"/>
      <c r="V41" s="96"/>
      <c r="W41" s="96"/>
      <c r="X41" s="97"/>
    </row>
    <row r="42" spans="2:24" ht="21.6" customHeight="1">
      <c r="C42" s="91" t="s">
        <v>71</v>
      </c>
      <c r="D42" s="7">
        <f>IF(E42="","",COUNTA($E$35:E42))</f>
        <v>4</v>
      </c>
      <c r="E42" s="8" t="s">
        <v>140</v>
      </c>
      <c r="F42" s="92" t="s">
        <v>73</v>
      </c>
      <c r="G42" s="7" t="str">
        <f>IF(I42="","",(COUNTA($I$35:I42)+COUNTA($E$35:$E$45)))</f>
        <v/>
      </c>
      <c r="H42" s="93"/>
      <c r="I42" s="150"/>
      <c r="Q42" s="88"/>
      <c r="R42" s="88"/>
      <c r="S42" s="97"/>
      <c r="T42" s="96"/>
      <c r="U42" s="96"/>
      <c r="V42" s="96"/>
      <c r="W42" s="96"/>
      <c r="X42" s="97"/>
    </row>
    <row r="43" spans="2:24" ht="21.6" customHeight="1">
      <c r="C43" s="85" t="s">
        <v>75</v>
      </c>
      <c r="D43" s="7">
        <f>IF(E43="","",COUNTA($E$35:E43))</f>
        <v>5</v>
      </c>
      <c r="E43" s="8" t="s">
        <v>141</v>
      </c>
      <c r="F43" s="86" t="s">
        <v>77</v>
      </c>
      <c r="G43" s="7" t="str">
        <f>IF(I43="","",(COUNTA($I$35:I43)+COUNTA($E$35:$E$45)))</f>
        <v/>
      </c>
      <c r="H43" s="93"/>
      <c r="I43" s="151"/>
      <c r="Q43" s="88"/>
      <c r="R43" s="88"/>
      <c r="S43" s="97"/>
      <c r="T43" s="96"/>
      <c r="U43" s="96"/>
      <c r="V43" s="96"/>
      <c r="W43" s="96"/>
      <c r="X43" s="97"/>
    </row>
    <row r="44" spans="2:24" ht="21.6" customHeight="1">
      <c r="B44" s="9" t="s">
        <v>29</v>
      </c>
      <c r="C44" s="91" t="s">
        <v>78</v>
      </c>
      <c r="D44" s="7" t="str">
        <f>IF(E44="","",COUNTA($E$35:E44))</f>
        <v/>
      </c>
      <c r="E44" s="150"/>
      <c r="F44" s="92" t="s">
        <v>79</v>
      </c>
      <c r="G44" s="7" t="str">
        <f>IF(I44="","",(COUNTA($I$35:I44)+COUNTA($E$35:$E$45)))</f>
        <v/>
      </c>
      <c r="H44" s="93"/>
      <c r="I44" s="150"/>
      <c r="Q44" s="88"/>
      <c r="R44" s="88"/>
      <c r="S44" s="97"/>
      <c r="T44" s="96"/>
      <c r="U44" s="96"/>
      <c r="V44" s="96"/>
      <c r="W44" s="96"/>
      <c r="X44" s="97"/>
    </row>
    <row r="45" spans="2:24" ht="21.6" customHeight="1">
      <c r="B45" s="98"/>
      <c r="C45" s="85" t="s">
        <v>81</v>
      </c>
      <c r="D45" s="7">
        <f>IF(E45="","",COUNTA($E$35:E45))</f>
        <v>6</v>
      </c>
      <c r="E45" s="8" t="s">
        <v>142</v>
      </c>
      <c r="F45" s="99" t="s">
        <v>82</v>
      </c>
      <c r="G45" s="7" t="str">
        <f>IF(I45="","",(COUNTA($I$35:I45)+COUNTA($E$35:$E$45)))</f>
        <v/>
      </c>
      <c r="H45" s="93"/>
      <c r="I45" s="147"/>
      <c r="Q45" s="88"/>
      <c r="R45" s="88"/>
      <c r="S45" s="97"/>
      <c r="T45" s="100"/>
      <c r="U45" s="96"/>
      <c r="V45" s="96"/>
      <c r="W45" s="96"/>
      <c r="X45" s="97"/>
    </row>
    <row r="46" spans="2:24" ht="21.6" customHeight="1" thickBot="1">
      <c r="C46" s="101" t="s">
        <v>83</v>
      </c>
      <c r="D46" s="102"/>
      <c r="E46" s="135"/>
      <c r="F46" s="99" t="s">
        <v>84</v>
      </c>
      <c r="G46" s="7" t="str">
        <f>IF(I46="","",(COUNTA($I$35:I46)+COUNTA($E$35:$E$45)))</f>
        <v/>
      </c>
      <c r="H46" s="103"/>
      <c r="I46" s="147"/>
      <c r="Q46" s="88"/>
      <c r="R46" s="88"/>
      <c r="S46" s="97"/>
      <c r="T46" s="96"/>
      <c r="U46" s="96"/>
      <c r="V46" s="96"/>
      <c r="W46" s="96"/>
      <c r="X46" s="97"/>
    </row>
    <row r="47" spans="2:24" thickBot="1">
      <c r="C47" s="104"/>
      <c r="D47" s="105"/>
      <c r="E47" s="118"/>
      <c r="F47" s="106"/>
      <c r="G47" s="105"/>
      <c r="H47" s="105"/>
      <c r="I47" s="141"/>
      <c r="Q47" s="88"/>
      <c r="R47" s="88"/>
      <c r="S47" s="97"/>
      <c r="T47" s="96"/>
      <c r="U47" s="96"/>
      <c r="V47" s="96"/>
      <c r="W47" s="96"/>
      <c r="X47" s="96"/>
    </row>
    <row r="48" spans="2:24" ht="21.6" customHeight="1" thickBot="1">
      <c r="C48" s="107" t="s">
        <v>87</v>
      </c>
      <c r="D48" s="107"/>
      <c r="F48" s="107" t="s">
        <v>88</v>
      </c>
      <c r="G48" s="108"/>
      <c r="H48" s="108"/>
      <c r="I48" s="152" t="s">
        <v>143</v>
      </c>
      <c r="J48" s="126" t="s">
        <v>89</v>
      </c>
      <c r="L48" s="128" t="s">
        <v>90</v>
      </c>
    </row>
    <row r="49" spans="2:14" ht="21.6" customHeight="1" thickBot="1">
      <c r="C49" s="2">
        <v>1</v>
      </c>
      <c r="D49" s="145" t="s">
        <v>144</v>
      </c>
      <c r="E49" s="6"/>
      <c r="F49" s="2"/>
      <c r="G49" s="28" t="s">
        <v>145</v>
      </c>
      <c r="H49" s="70"/>
      <c r="I49" s="70"/>
      <c r="J49" s="131">
        <v>153</v>
      </c>
      <c r="L49" s="132">
        <f>COUNTA(D49:D60)</f>
        <v>4</v>
      </c>
    </row>
    <row r="50" spans="2:14" ht="21.6" customHeight="1" thickBot="1">
      <c r="C50" s="2">
        <v>2</v>
      </c>
      <c r="D50" s="145" t="s">
        <v>91</v>
      </c>
      <c r="E50" s="6"/>
      <c r="F50" s="2">
        <v>1</v>
      </c>
      <c r="G50" s="75"/>
      <c r="H50" s="75"/>
      <c r="I50" s="75"/>
      <c r="L50" s="129" t="s">
        <v>57</v>
      </c>
    </row>
    <row r="51" spans="2:14" ht="21.6" customHeight="1" thickBot="1">
      <c r="C51" s="2">
        <v>3</v>
      </c>
      <c r="D51" s="145" t="s">
        <v>146</v>
      </c>
      <c r="E51" s="6"/>
      <c r="F51" s="2">
        <v>2</v>
      </c>
      <c r="G51" s="75"/>
      <c r="H51" s="75"/>
      <c r="I51" s="75"/>
      <c r="L51" s="133">
        <f>J49/L49</f>
        <v>38.25</v>
      </c>
    </row>
    <row r="52" spans="2:14" ht="21.6" customHeight="1" thickBot="1">
      <c r="C52" s="2">
        <v>4</v>
      </c>
      <c r="D52" s="145" t="s">
        <v>141</v>
      </c>
      <c r="E52" s="6"/>
      <c r="F52" s="2">
        <v>3</v>
      </c>
      <c r="G52" s="75"/>
      <c r="H52" s="75"/>
      <c r="I52" s="75"/>
      <c r="M52" s="122"/>
    </row>
    <row r="53" spans="2:14" ht="21.6" customHeight="1" thickBot="1">
      <c r="C53" s="2">
        <v>5</v>
      </c>
      <c r="D53" s="6"/>
      <c r="E53" s="6"/>
      <c r="F53" s="2">
        <v>4</v>
      </c>
      <c r="G53" s="75"/>
      <c r="H53" s="75"/>
      <c r="I53" s="75"/>
    </row>
    <row r="54" spans="2:14" ht="21.6" customHeight="1" thickBot="1">
      <c r="C54" s="2">
        <v>6</v>
      </c>
      <c r="D54" s="142"/>
      <c r="E54" s="6"/>
      <c r="F54" s="2">
        <v>5</v>
      </c>
      <c r="G54" s="109"/>
      <c r="H54" s="109"/>
    </row>
    <row r="55" spans="2:14" ht="21.6" customHeight="1" thickBot="1">
      <c r="C55" s="2">
        <v>7</v>
      </c>
      <c r="D55" s="6"/>
      <c r="E55" s="6"/>
      <c r="F55" s="3"/>
      <c r="G55" s="66"/>
      <c r="H55" s="66"/>
      <c r="I55" s="66"/>
      <c r="N55" s="9" t="s">
        <v>95</v>
      </c>
    </row>
    <row r="56" spans="2:14" ht="21.6" customHeight="1">
      <c r="C56" s="2"/>
      <c r="D56" s="117"/>
      <c r="F56" s="2"/>
      <c r="G56" s="66"/>
      <c r="H56" s="66"/>
      <c r="I56" s="66"/>
    </row>
    <row r="57" spans="2:14" ht="21.6" customHeight="1">
      <c r="C57" s="1"/>
      <c r="D57" s="66"/>
      <c r="E57" s="66"/>
      <c r="F57" s="66"/>
      <c r="G57" s="66"/>
      <c r="H57" s="66"/>
      <c r="I57" s="66"/>
    </row>
    <row r="58" spans="2:14" ht="21.6" customHeight="1" thickBot="1">
      <c r="B58" s="4"/>
      <c r="C58" s="4" t="s">
        <v>96</v>
      </c>
      <c r="D58" s="110"/>
      <c r="E58" s="5"/>
      <c r="F58" s="4" t="s">
        <v>97</v>
      </c>
      <c r="G58" s="110"/>
      <c r="H58" s="110"/>
      <c r="I58" s="110"/>
      <c r="J58" s="4" t="s">
        <v>98</v>
      </c>
      <c r="L58" s="111"/>
    </row>
    <row r="59" spans="2:14" ht="21.6" customHeight="1">
      <c r="C59" s="1"/>
      <c r="D59" s="66"/>
      <c r="E59" s="3"/>
      <c r="F59" s="66"/>
      <c r="G59" s="66"/>
      <c r="H59" s="66"/>
      <c r="I59" s="66"/>
    </row>
    <row r="60" spans="2:14" ht="21.6" customHeight="1">
      <c r="C60" s="66"/>
      <c r="D60" s="66"/>
      <c r="E60" s="3"/>
      <c r="F60" s="66"/>
      <c r="G60" s="66"/>
      <c r="H60" s="66"/>
      <c r="I60" s="66"/>
    </row>
    <row r="61" spans="2:14" ht="21.6" customHeight="1">
      <c r="C61" s="66"/>
      <c r="D61" s="66"/>
      <c r="E61" s="66"/>
      <c r="F61" s="66"/>
      <c r="G61" s="66"/>
      <c r="H61" s="66"/>
      <c r="I61" s="66"/>
    </row>
    <row r="62" spans="2:14" ht="21.6" customHeight="1">
      <c r="F62" s="66"/>
      <c r="G62" s="66"/>
      <c r="H62" s="66"/>
      <c r="I62" s="66"/>
    </row>
    <row r="63" spans="2:14" ht="21.6" customHeight="1">
      <c r="F63" s="66"/>
      <c r="G63" s="66"/>
      <c r="H63" s="66"/>
      <c r="I63" s="66"/>
    </row>
    <row r="64" spans="2:14" ht="21.6" customHeight="1">
      <c r="F64" s="66"/>
      <c r="G64" s="66"/>
      <c r="H64" s="66"/>
      <c r="I64" s="66"/>
    </row>
  </sheetData>
  <sheetProtection selectLockedCells="1"/>
  <dataConsolidate link="1"/>
  <mergeCells count="3">
    <mergeCell ref="L38:M38"/>
    <mergeCell ref="H22:I22"/>
    <mergeCell ref="K2:L2"/>
  </mergeCells>
  <phoneticPr fontId="0" type="noConversion"/>
  <printOptions horizontalCentered="1" verticalCentered="1"/>
  <pageMargins left="0.25" right="0.25" top="0.75" bottom="0.75" header="0.3" footer="0.3"/>
  <pageSetup scale="75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d2033364-dec3-4a1c-9772-3f41ca7c4b75}" enabled="0" method="" siteId="{d2033364-dec3-4a1c-9772-3f41ca7c4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Generic User</dc:creator>
  <cp:keywords/>
  <dc:description/>
  <cp:lastModifiedBy/>
  <cp:revision/>
  <dcterms:created xsi:type="dcterms:W3CDTF">2004-04-28T01:15:04Z</dcterms:created>
  <dcterms:modified xsi:type="dcterms:W3CDTF">2026-08-14T22:36:58Z</dcterms:modified>
  <cp:category/>
  <cp:contentStatus/>
</cp:coreProperties>
</file>